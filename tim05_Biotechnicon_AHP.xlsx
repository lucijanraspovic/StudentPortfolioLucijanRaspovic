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lanasavic/Desktop/"/>
    </mc:Choice>
  </mc:AlternateContent>
  <xr:revisionPtr revIDLastSave="0" documentId="13_ncr:1_{4410B6D0-7191-704F-8E87-623E639C40E3}" xr6:coauthVersionLast="47" xr6:coauthVersionMax="47" xr10:uidLastSave="{00000000-0000-0000-0000-000000000000}"/>
  <bookViews>
    <workbookView xWindow="0" yWindow="0" windowWidth="28800" windowHeight="18000" firstSheet="38" activeTab="41" xr2:uid="{00000000-000D-0000-FFFF-FFFF00000000}"/>
  </bookViews>
  <sheets>
    <sheet name="PROCESI_Prioriteti" sheetId="30" r:id="rId1"/>
    <sheet name="PROCESI_AO" sheetId="29" r:id="rId2"/>
    <sheet name="PROCESIUsporedbaKriteriji" sheetId="31" r:id="rId3"/>
    <sheet name="PraćenjeIKontorlaProcesa" sheetId="32" r:id="rId4"/>
    <sheet name="AdministrativnoOpterećenje" sheetId="33" r:id="rId5"/>
    <sheet name="KoordinacijaIzmeđuOdjela" sheetId="34" r:id="rId6"/>
    <sheet name="KomunikacijaIPristupPodacima" sheetId="35" r:id="rId7"/>
    <sheet name="TransparentnostPostupaka" sheetId="36" r:id="rId8"/>
    <sheet name="BrojPotrebnihLjudiPROCESI" sheetId="37" r:id="rId9"/>
    <sheet name="OpsegRučnihOperacija" sheetId="38" r:id="rId10"/>
    <sheet name="RazinaAutoRutinskihKoraka" sheetId="39" r:id="rId11"/>
    <sheet name="TrajanjeProcesa" sheetId="40" r:id="rId12"/>
    <sheet name="OperativnePogreške" sheetId="41" r:id="rId13"/>
    <sheet name="TočnostPrikupljenihInfo" sheetId="42" r:id="rId14"/>
    <sheet name="UštedaUOdnosuNaPrije" sheetId="43" r:id="rId15"/>
    <sheet name="TrošakProvedbeProcesa" sheetId="44" r:id="rId16"/>
    <sheet name="PKFinancijskaUčinkovitost" sheetId="45" r:id="rId17"/>
    <sheet name="PKKvalitetaTočnost" sheetId="46" r:id="rId18"/>
    <sheet name="PKUbrzanjeProcesa" sheetId="47" r:id="rId19"/>
    <sheet name="PKLjudskiResursi" sheetId="48" r:id="rId20"/>
    <sheet name="PKPoboljšanjeIskustva" sheetId="49" r:id="rId21"/>
    <sheet name="PKUtjecajNaOrgUčinkovitost" sheetId="50" r:id="rId22"/>
    <sheet name="USLUGEUsporedbaKriteriji" sheetId="28" r:id="rId23"/>
    <sheet name="DostupnostUsluge" sheetId="26" r:id="rId24"/>
    <sheet name="UčinkovitostRješavanjaProblema" sheetId="25" r:id="rId25"/>
    <sheet name="IntegracijaSPostojećimSustavima" sheetId="24" r:id="rId26"/>
    <sheet name="KonkurentskaPrednost" sheetId="23" r:id="rId27"/>
    <sheet name="PrepoznatljivostIInovativnost" sheetId="22" r:id="rId28"/>
    <sheet name="ZahtjevnostImplementacije" sheetId="21" r:id="rId29"/>
    <sheet name="AutoObavljanjeRutinskihKoraka" sheetId="20" r:id="rId30"/>
    <sheet name="PKFinancijske_Isplativosti" sheetId="7" r:id="rId31"/>
    <sheet name="PKReputacijeIInovativnosti" sheetId="8" r:id="rId32"/>
    <sheet name="PKZadovoljstvaKupca" sheetId="9" r:id="rId33"/>
    <sheet name="PKUbrzanjaProcesa" sheetId="10" r:id="rId34"/>
    <sheet name="PKLjudskihresursa" sheetId="11" r:id="rId35"/>
    <sheet name="PKTehIzvedivostiIOdrživosti" sheetId="12" r:id="rId36"/>
    <sheet name="TrošakImplementacije" sheetId="13" r:id="rId37"/>
    <sheet name="TrošakOdržavanja" sheetId="14" r:id="rId38"/>
    <sheet name="AutomatskaPodrška" sheetId="16" r:id="rId39"/>
    <sheet name="BrojPotrebnihLjudiUSLUGE" sheetId="17" r:id="rId40"/>
    <sheet name="VrijemePotrebnoZaPružanjeUsluge" sheetId="19" r:id="rId41"/>
    <sheet name="USLUGE_Prioriteti_AO" sheetId="1" r:id="rId42"/>
    <sheet name="PovratInvesticije(ROI)" sheetId="15" r:id="rId43"/>
    <sheet name="2x2" sheetId="2" r:id="rId44"/>
    <sheet name="3x3" sheetId="3" r:id="rId45"/>
    <sheet name="4x4" sheetId="4" r:id="rId46"/>
    <sheet name="5x5" sheetId="5" r:id="rId47"/>
    <sheet name="6x6" sheetId="27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24" l="1"/>
  <c r="O33" i="21"/>
  <c r="T33" i="20"/>
  <c r="O33" i="26"/>
  <c r="D6" i="19"/>
  <c r="C6" i="19"/>
  <c r="C5" i="19"/>
  <c r="V8" i="29"/>
  <c r="T8" i="29"/>
  <c r="R8" i="29"/>
  <c r="P8" i="29"/>
  <c r="N8" i="29"/>
  <c r="L8" i="29"/>
  <c r="V8" i="31"/>
  <c r="U8" i="31"/>
  <c r="F4" i="31"/>
  <c r="C10" i="31"/>
  <c r="D10" i="31"/>
  <c r="D13" i="31" s="1"/>
  <c r="E10" i="31"/>
  <c r="F10" i="31"/>
  <c r="F13" i="31" s="1"/>
  <c r="G10" i="31"/>
  <c r="H10" i="31"/>
  <c r="K10" i="31"/>
  <c r="L10" i="31"/>
  <c r="M10" i="31"/>
  <c r="N10" i="31"/>
  <c r="O10" i="31"/>
  <c r="P10" i="31"/>
  <c r="P12" i="31" s="1"/>
  <c r="S10" i="31"/>
  <c r="T10" i="31"/>
  <c r="U10" i="31"/>
  <c r="U17" i="31" s="1"/>
  <c r="V10" i="31"/>
  <c r="W10" i="31"/>
  <c r="X10" i="31"/>
  <c r="X15" i="31" s="1"/>
  <c r="AA10" i="31"/>
  <c r="AE10" i="31"/>
  <c r="C12" i="31"/>
  <c r="E12" i="31"/>
  <c r="G12" i="31"/>
  <c r="H12" i="31"/>
  <c r="K12" i="31"/>
  <c r="L12" i="31"/>
  <c r="M12" i="31"/>
  <c r="N12" i="31"/>
  <c r="O12" i="31"/>
  <c r="S12" i="31"/>
  <c r="T12" i="31"/>
  <c r="V12" i="31"/>
  <c r="W12" i="31"/>
  <c r="X12" i="31"/>
  <c r="AA12" i="31"/>
  <c r="AE12" i="31"/>
  <c r="C13" i="31"/>
  <c r="E13" i="31"/>
  <c r="G13" i="31"/>
  <c r="H13" i="31"/>
  <c r="K13" i="31"/>
  <c r="L13" i="31"/>
  <c r="M13" i="31"/>
  <c r="N13" i="31"/>
  <c r="O13" i="31"/>
  <c r="P13" i="31"/>
  <c r="S13" i="31"/>
  <c r="T13" i="31"/>
  <c r="U13" i="31"/>
  <c r="V13" i="31"/>
  <c r="W13" i="31"/>
  <c r="X13" i="31"/>
  <c r="AA13" i="31"/>
  <c r="AE13" i="31"/>
  <c r="C14" i="31"/>
  <c r="E14" i="31"/>
  <c r="G14" i="31"/>
  <c r="H14" i="31"/>
  <c r="K14" i="31"/>
  <c r="L14" i="31"/>
  <c r="M14" i="31"/>
  <c r="N14" i="31"/>
  <c r="O14" i="31"/>
  <c r="P14" i="31"/>
  <c r="S14" i="31"/>
  <c r="T14" i="31"/>
  <c r="U14" i="31"/>
  <c r="V14" i="31"/>
  <c r="W14" i="31"/>
  <c r="X14" i="31"/>
  <c r="AA14" i="31"/>
  <c r="AE14" i="31"/>
  <c r="C15" i="31"/>
  <c r="E15" i="31"/>
  <c r="G15" i="31"/>
  <c r="H15" i="31"/>
  <c r="K15" i="31"/>
  <c r="L15" i="31"/>
  <c r="M15" i="31"/>
  <c r="N15" i="31"/>
  <c r="O15" i="31"/>
  <c r="P15" i="31"/>
  <c r="S15" i="31"/>
  <c r="T15" i="31"/>
  <c r="U15" i="31"/>
  <c r="V15" i="31"/>
  <c r="W15" i="31"/>
  <c r="AA15" i="31"/>
  <c r="AE15" i="31"/>
  <c r="C16" i="31"/>
  <c r="E16" i="31"/>
  <c r="G16" i="31"/>
  <c r="H16" i="31"/>
  <c r="K16" i="31"/>
  <c r="L16" i="31"/>
  <c r="M16" i="31"/>
  <c r="N16" i="31"/>
  <c r="O16" i="31"/>
  <c r="P16" i="31"/>
  <c r="S16" i="31"/>
  <c r="T16" i="31"/>
  <c r="V16" i="31"/>
  <c r="W16" i="31"/>
  <c r="AA16" i="31"/>
  <c r="AE16" i="31"/>
  <c r="C17" i="31"/>
  <c r="E17" i="31"/>
  <c r="G17" i="31"/>
  <c r="H17" i="31"/>
  <c r="K17" i="31"/>
  <c r="L17" i="31"/>
  <c r="M17" i="31"/>
  <c r="N17" i="31"/>
  <c r="O17" i="31"/>
  <c r="P17" i="31"/>
  <c r="S17" i="31"/>
  <c r="T17" i="31"/>
  <c r="V17" i="31"/>
  <c r="W17" i="31"/>
  <c r="X17" i="31"/>
  <c r="AA17" i="31"/>
  <c r="AE17" i="31"/>
  <c r="O5" i="15"/>
  <c r="M5" i="15"/>
  <c r="O4" i="15"/>
  <c r="D17" i="50"/>
  <c r="D16" i="50"/>
  <c r="D15" i="50"/>
  <c r="O8" i="50"/>
  <c r="O12" i="50" s="1"/>
  <c r="M8" i="50"/>
  <c r="M13" i="50" s="1"/>
  <c r="J8" i="50"/>
  <c r="J13" i="50" s="1"/>
  <c r="H8" i="50"/>
  <c r="H12" i="50" s="1"/>
  <c r="C8" i="50"/>
  <c r="C12" i="50" s="1"/>
  <c r="T6" i="50"/>
  <c r="R6" i="50"/>
  <c r="N6" i="50"/>
  <c r="I6" i="50"/>
  <c r="G6" i="50"/>
  <c r="I17" i="50" s="1"/>
  <c r="D6" i="50"/>
  <c r="T5" i="50"/>
  <c r="S5" i="50"/>
  <c r="R5" i="50"/>
  <c r="G5" i="50"/>
  <c r="I16" i="50" s="1"/>
  <c r="R4" i="50"/>
  <c r="N4" i="50"/>
  <c r="I4" i="50"/>
  <c r="G4" i="50"/>
  <c r="L4" i="50" s="1"/>
  <c r="E4" i="50"/>
  <c r="D4" i="50"/>
  <c r="J3" i="50"/>
  <c r="E3" i="50"/>
  <c r="D3" i="50"/>
  <c r="C3" i="50"/>
  <c r="C12" i="49"/>
  <c r="C11" i="49"/>
  <c r="D9" i="49"/>
  <c r="L6" i="49"/>
  <c r="L9" i="49" s="1"/>
  <c r="H6" i="49"/>
  <c r="H9" i="49" s="1"/>
  <c r="G6" i="49"/>
  <c r="G9" i="49" s="1"/>
  <c r="H12" i="49" s="1"/>
  <c r="D6" i="49"/>
  <c r="D8" i="49" s="1"/>
  <c r="C6" i="49"/>
  <c r="C9" i="49" s="1"/>
  <c r="P4" i="49"/>
  <c r="O4" i="49"/>
  <c r="K4" i="49"/>
  <c r="F4" i="49"/>
  <c r="H2" i="49" s="1"/>
  <c r="P3" i="49"/>
  <c r="O3" i="49"/>
  <c r="F3" i="49"/>
  <c r="J3" i="49" s="1"/>
  <c r="D3" i="49"/>
  <c r="D2" i="49"/>
  <c r="C2" i="49"/>
  <c r="C12" i="48"/>
  <c r="C11" i="48"/>
  <c r="L6" i="48"/>
  <c r="L9" i="48" s="1"/>
  <c r="G6" i="48"/>
  <c r="G9" i="48" s="1"/>
  <c r="D6" i="48"/>
  <c r="D9" i="48" s="1"/>
  <c r="C6" i="48"/>
  <c r="C9" i="48" s="1"/>
  <c r="P4" i="48"/>
  <c r="K4" i="48"/>
  <c r="F4" i="48"/>
  <c r="J4" i="48" s="1"/>
  <c r="C4" i="48"/>
  <c r="O4" i="48" s="1"/>
  <c r="P3" i="48"/>
  <c r="O3" i="48"/>
  <c r="J3" i="48"/>
  <c r="H3" i="48"/>
  <c r="F3" i="48"/>
  <c r="G11" i="48" s="1"/>
  <c r="H2" i="48"/>
  <c r="G2" i="48"/>
  <c r="D2" i="48"/>
  <c r="C2" i="48"/>
  <c r="G12" i="47"/>
  <c r="C12" i="47"/>
  <c r="G11" i="47"/>
  <c r="C11" i="47"/>
  <c r="O6" i="47"/>
  <c r="K6" i="47"/>
  <c r="K9" i="47" s="1"/>
  <c r="H6" i="47"/>
  <c r="H9" i="47" s="1"/>
  <c r="G6" i="47"/>
  <c r="D6" i="47"/>
  <c r="D9" i="47" s="1"/>
  <c r="C6" i="47"/>
  <c r="P4" i="47"/>
  <c r="O4" i="47"/>
  <c r="G4" i="47"/>
  <c r="F4" i="47"/>
  <c r="J4" i="47" s="1"/>
  <c r="C4" i="47"/>
  <c r="P3" i="47"/>
  <c r="O3" i="47"/>
  <c r="N3" i="47"/>
  <c r="L3" i="47"/>
  <c r="F3" i="47"/>
  <c r="J3" i="47" s="1"/>
  <c r="L2" i="47"/>
  <c r="H2" i="47"/>
  <c r="G2" i="47"/>
  <c r="D2" i="47"/>
  <c r="C2" i="47"/>
  <c r="C12" i="46"/>
  <c r="C11" i="46"/>
  <c r="K8" i="46"/>
  <c r="L6" i="46"/>
  <c r="K6" i="46"/>
  <c r="K9" i="46" s="1"/>
  <c r="H6" i="46"/>
  <c r="G6" i="46"/>
  <c r="G9" i="46" s="1"/>
  <c r="D6" i="46"/>
  <c r="D9" i="46" s="1"/>
  <c r="P4" i="46"/>
  <c r="F4" i="46"/>
  <c r="C4" i="46"/>
  <c r="O4" i="46" s="1"/>
  <c r="O3" i="46"/>
  <c r="L3" i="46"/>
  <c r="P3" i="46" s="1"/>
  <c r="J3" i="46"/>
  <c r="F3" i="46"/>
  <c r="D2" i="46"/>
  <c r="C2" i="46"/>
  <c r="C12" i="45"/>
  <c r="O11" i="45"/>
  <c r="G11" i="45"/>
  <c r="C11" i="45"/>
  <c r="P9" i="45"/>
  <c r="D9" i="45"/>
  <c r="P8" i="45"/>
  <c r="D8" i="45"/>
  <c r="L6" i="45"/>
  <c r="L9" i="45" s="1"/>
  <c r="K6" i="45"/>
  <c r="K9" i="45" s="1"/>
  <c r="L12" i="45" s="1"/>
  <c r="H6" i="45"/>
  <c r="D6" i="45"/>
  <c r="C6" i="45"/>
  <c r="C8" i="45" s="1"/>
  <c r="P4" i="45"/>
  <c r="G4" i="45"/>
  <c r="F4" i="45"/>
  <c r="G12" i="45" s="1"/>
  <c r="C4" i="45"/>
  <c r="P3" i="45"/>
  <c r="P6" i="45" s="1"/>
  <c r="O3" i="45"/>
  <c r="N3" i="45"/>
  <c r="O2" i="45" s="1"/>
  <c r="F3" i="45"/>
  <c r="J3" i="45" s="1"/>
  <c r="K11" i="45" s="1"/>
  <c r="K2" i="45"/>
  <c r="H2" i="45"/>
  <c r="G2" i="45"/>
  <c r="D2" i="45"/>
  <c r="C2" i="45"/>
  <c r="D17" i="44"/>
  <c r="I16" i="44"/>
  <c r="D16" i="44"/>
  <c r="D15" i="44"/>
  <c r="J13" i="44"/>
  <c r="E13" i="44"/>
  <c r="D12" i="44"/>
  <c r="J11" i="44"/>
  <c r="E11" i="44"/>
  <c r="O8" i="44"/>
  <c r="M8" i="44"/>
  <c r="J8" i="44"/>
  <c r="J12" i="44" s="1"/>
  <c r="E8" i="44"/>
  <c r="E12" i="44" s="1"/>
  <c r="D8" i="44"/>
  <c r="D11" i="44" s="1"/>
  <c r="C8" i="44"/>
  <c r="T6" i="44"/>
  <c r="N6" i="44"/>
  <c r="M6" i="44"/>
  <c r="I6" i="44"/>
  <c r="H6" i="44"/>
  <c r="G6" i="44"/>
  <c r="D6" i="44"/>
  <c r="D13" i="44" s="1"/>
  <c r="C6" i="44"/>
  <c r="T5" i="44"/>
  <c r="S5" i="44"/>
  <c r="Q5" i="44"/>
  <c r="L5" i="44"/>
  <c r="H5" i="44"/>
  <c r="G5" i="44"/>
  <c r="T4" i="44"/>
  <c r="S4" i="44"/>
  <c r="R4" i="44"/>
  <c r="L4" i="44"/>
  <c r="G4" i="44"/>
  <c r="I15" i="44" s="1"/>
  <c r="J3" i="44"/>
  <c r="I3" i="44"/>
  <c r="E3" i="44"/>
  <c r="D3" i="44"/>
  <c r="C3" i="44"/>
  <c r="N17" i="43"/>
  <c r="I17" i="43"/>
  <c r="D17" i="43"/>
  <c r="D16" i="43"/>
  <c r="I15" i="43"/>
  <c r="D15" i="43"/>
  <c r="O13" i="43"/>
  <c r="J13" i="43"/>
  <c r="E12" i="43"/>
  <c r="D12" i="43"/>
  <c r="O11" i="43"/>
  <c r="J11" i="43"/>
  <c r="O8" i="43"/>
  <c r="O12" i="43" s="1"/>
  <c r="J8" i="43"/>
  <c r="J12" i="43" s="1"/>
  <c r="I8" i="43"/>
  <c r="I11" i="43" s="1"/>
  <c r="E8" i="43"/>
  <c r="D8" i="43"/>
  <c r="T6" i="43"/>
  <c r="N6" i="43"/>
  <c r="M6" i="43"/>
  <c r="L6" i="43"/>
  <c r="Q6" i="43" s="1"/>
  <c r="I6" i="43"/>
  <c r="I13" i="43" s="1"/>
  <c r="H6" i="43"/>
  <c r="G6" i="43"/>
  <c r="C6" i="43"/>
  <c r="T5" i="43"/>
  <c r="S5" i="43"/>
  <c r="R5" i="43"/>
  <c r="M5" i="43"/>
  <c r="L5" i="43"/>
  <c r="H5" i="43"/>
  <c r="G5" i="43"/>
  <c r="I16" i="43" s="1"/>
  <c r="C5" i="43"/>
  <c r="T4" i="43"/>
  <c r="S4" i="43"/>
  <c r="R4" i="43"/>
  <c r="L4" i="43"/>
  <c r="G4" i="43"/>
  <c r="J3" i="43"/>
  <c r="H3" i="43"/>
  <c r="E3" i="43"/>
  <c r="D3" i="43"/>
  <c r="C3" i="43"/>
  <c r="D17" i="42"/>
  <c r="D16" i="42"/>
  <c r="D15" i="42"/>
  <c r="O13" i="42"/>
  <c r="E13" i="42"/>
  <c r="C13" i="42"/>
  <c r="T12" i="42"/>
  <c r="M12" i="42"/>
  <c r="O11" i="42"/>
  <c r="E11" i="42"/>
  <c r="C11" i="42"/>
  <c r="T8" i="42"/>
  <c r="O8" i="42"/>
  <c r="O12" i="42" s="1"/>
  <c r="M8" i="42"/>
  <c r="M11" i="42" s="1"/>
  <c r="J8" i="42"/>
  <c r="J12" i="42" s="1"/>
  <c r="H8" i="42"/>
  <c r="H11" i="42" s="1"/>
  <c r="E8" i="42"/>
  <c r="E12" i="42" s="1"/>
  <c r="D8" i="42"/>
  <c r="C8" i="42"/>
  <c r="C12" i="42" s="1"/>
  <c r="T6" i="42"/>
  <c r="N6" i="42"/>
  <c r="M6" i="42"/>
  <c r="M13" i="42" s="1"/>
  <c r="L6" i="42"/>
  <c r="I6" i="42"/>
  <c r="H6" i="42"/>
  <c r="H13" i="42" s="1"/>
  <c r="G6" i="42"/>
  <c r="I17" i="42" s="1"/>
  <c r="D6" i="42"/>
  <c r="C6" i="42"/>
  <c r="T5" i="42"/>
  <c r="S5" i="42"/>
  <c r="R5" i="42"/>
  <c r="M5" i="42"/>
  <c r="H5" i="42"/>
  <c r="G5" i="42"/>
  <c r="I16" i="42" s="1"/>
  <c r="T4" i="42"/>
  <c r="S4" i="42"/>
  <c r="R4" i="42"/>
  <c r="L4" i="42"/>
  <c r="G4" i="42"/>
  <c r="I15" i="42" s="1"/>
  <c r="J3" i="42"/>
  <c r="I3" i="42"/>
  <c r="H3" i="42"/>
  <c r="N17" i="41"/>
  <c r="I17" i="41"/>
  <c r="D17" i="41"/>
  <c r="N16" i="41"/>
  <c r="I16" i="41"/>
  <c r="D16" i="41"/>
  <c r="I15" i="41"/>
  <c r="D15" i="41"/>
  <c r="O13" i="41"/>
  <c r="C13" i="41"/>
  <c r="O12" i="41"/>
  <c r="J12" i="41"/>
  <c r="C12" i="41"/>
  <c r="O11" i="41"/>
  <c r="C11" i="41"/>
  <c r="T8" i="41"/>
  <c r="O8" i="41"/>
  <c r="J8" i="41"/>
  <c r="H8" i="41"/>
  <c r="E8" i="41"/>
  <c r="C8" i="41"/>
  <c r="T6" i="41"/>
  <c r="Q6" i="41"/>
  <c r="N6" i="41"/>
  <c r="M6" i="41"/>
  <c r="R6" i="41" s="1"/>
  <c r="I6" i="41"/>
  <c r="H6" i="41"/>
  <c r="G6" i="41"/>
  <c r="L6" i="41" s="1"/>
  <c r="D6" i="41"/>
  <c r="T5" i="41"/>
  <c r="S5" i="41"/>
  <c r="M5" i="41"/>
  <c r="G5" i="41"/>
  <c r="L5" i="41" s="1"/>
  <c r="Q5" i="41" s="1"/>
  <c r="T4" i="41"/>
  <c r="S4" i="41"/>
  <c r="R4" i="41"/>
  <c r="Q4" i="41"/>
  <c r="S15" i="41" s="1"/>
  <c r="L4" i="41"/>
  <c r="N15" i="41" s="1"/>
  <c r="G4" i="41"/>
  <c r="H3" i="41" s="1"/>
  <c r="E4" i="41"/>
  <c r="D4" i="41"/>
  <c r="R3" i="41"/>
  <c r="O3" i="41"/>
  <c r="N3" i="41"/>
  <c r="M3" i="41"/>
  <c r="I3" i="41"/>
  <c r="I17" i="40"/>
  <c r="D17" i="40"/>
  <c r="I16" i="40"/>
  <c r="D16" i="40"/>
  <c r="N15" i="40"/>
  <c r="I15" i="40"/>
  <c r="D15" i="40"/>
  <c r="O13" i="40"/>
  <c r="J13" i="40"/>
  <c r="C13" i="40"/>
  <c r="O12" i="40"/>
  <c r="E12" i="40"/>
  <c r="D12" i="40"/>
  <c r="C12" i="40"/>
  <c r="O11" i="40"/>
  <c r="J11" i="40"/>
  <c r="C11" i="40"/>
  <c r="O8" i="40"/>
  <c r="J8" i="40"/>
  <c r="J12" i="40" s="1"/>
  <c r="E8" i="40"/>
  <c r="D8" i="40"/>
  <c r="D11" i="40" s="1"/>
  <c r="C8" i="40"/>
  <c r="T6" i="40"/>
  <c r="N6" i="40"/>
  <c r="M6" i="40"/>
  <c r="L6" i="40"/>
  <c r="I6" i="40"/>
  <c r="H6" i="40"/>
  <c r="G6" i="40"/>
  <c r="D6" i="40"/>
  <c r="C6" i="40"/>
  <c r="T5" i="40"/>
  <c r="S5" i="40"/>
  <c r="Q5" i="40"/>
  <c r="M5" i="40"/>
  <c r="G5" i="40"/>
  <c r="L5" i="40" s="1"/>
  <c r="N16" i="40" s="1"/>
  <c r="C5" i="40"/>
  <c r="T4" i="40"/>
  <c r="S4" i="40"/>
  <c r="R4" i="40"/>
  <c r="L4" i="40"/>
  <c r="Q4" i="40" s="1"/>
  <c r="G4" i="40"/>
  <c r="J3" i="40"/>
  <c r="H3" i="40"/>
  <c r="D17" i="39"/>
  <c r="D16" i="39"/>
  <c r="S15" i="39"/>
  <c r="I15" i="39"/>
  <c r="D15" i="39"/>
  <c r="O12" i="39"/>
  <c r="N12" i="39"/>
  <c r="M12" i="39"/>
  <c r="O16" i="39" s="1"/>
  <c r="D12" i="39"/>
  <c r="C12" i="39"/>
  <c r="O11" i="39"/>
  <c r="C11" i="39"/>
  <c r="O8" i="39"/>
  <c r="O13" i="39" s="1"/>
  <c r="N8" i="39"/>
  <c r="N13" i="39" s="1"/>
  <c r="M8" i="39"/>
  <c r="M11" i="39" s="1"/>
  <c r="H8" i="39"/>
  <c r="H12" i="39" s="1"/>
  <c r="D8" i="39"/>
  <c r="C8" i="39"/>
  <c r="C13" i="39" s="1"/>
  <c r="T6" i="39"/>
  <c r="S6" i="39"/>
  <c r="R6" i="39"/>
  <c r="Q6" i="39"/>
  <c r="T3" i="39" s="1"/>
  <c r="L6" i="39"/>
  <c r="N17" i="39" s="1"/>
  <c r="G6" i="39"/>
  <c r="S5" i="39"/>
  <c r="R5" i="39"/>
  <c r="J5" i="39"/>
  <c r="G5" i="39"/>
  <c r="E5" i="39"/>
  <c r="R4" i="39"/>
  <c r="Q4" i="39"/>
  <c r="R3" i="39" s="1"/>
  <c r="O4" i="39"/>
  <c r="N4" i="39"/>
  <c r="L4" i="39"/>
  <c r="N15" i="39" s="1"/>
  <c r="J4" i="39"/>
  <c r="I4" i="39"/>
  <c r="G4" i="39"/>
  <c r="E4" i="39"/>
  <c r="O3" i="39"/>
  <c r="M3" i="39"/>
  <c r="H3" i="39"/>
  <c r="D17" i="38"/>
  <c r="I16" i="38"/>
  <c r="D16" i="38"/>
  <c r="D15" i="38"/>
  <c r="O12" i="38"/>
  <c r="E12" i="38"/>
  <c r="O11" i="38"/>
  <c r="I11" i="38"/>
  <c r="H11" i="38"/>
  <c r="O8" i="38"/>
  <c r="O13" i="38" s="1"/>
  <c r="I8" i="38"/>
  <c r="H8" i="38"/>
  <c r="E8" i="38"/>
  <c r="C8" i="38"/>
  <c r="C13" i="38" s="1"/>
  <c r="T6" i="38"/>
  <c r="N6" i="38"/>
  <c r="M6" i="38"/>
  <c r="L6" i="38"/>
  <c r="G6" i="38"/>
  <c r="I17" i="38" s="1"/>
  <c r="D6" i="38"/>
  <c r="C6" i="38"/>
  <c r="R6" i="38" s="1"/>
  <c r="R8" i="38" s="1"/>
  <c r="R12" i="38" s="1"/>
  <c r="S5" i="38"/>
  <c r="R5" i="38"/>
  <c r="L5" i="38"/>
  <c r="J5" i="38"/>
  <c r="G5" i="38"/>
  <c r="R4" i="38"/>
  <c r="J4" i="38"/>
  <c r="I4" i="38"/>
  <c r="S4" i="38" s="1"/>
  <c r="G4" i="38"/>
  <c r="J3" i="38"/>
  <c r="I3" i="38"/>
  <c r="C23" i="37"/>
  <c r="N17" i="37"/>
  <c r="D17" i="37"/>
  <c r="D16" i="37"/>
  <c r="D15" i="37"/>
  <c r="O13" i="37"/>
  <c r="E13" i="37"/>
  <c r="C13" i="37"/>
  <c r="E17" i="37" s="1"/>
  <c r="O12" i="37"/>
  <c r="D12" i="37"/>
  <c r="E16" i="37" s="1"/>
  <c r="C12" i="37"/>
  <c r="O11" i="37"/>
  <c r="E11" i="37"/>
  <c r="D11" i="37"/>
  <c r="C11" i="37"/>
  <c r="E15" i="37" s="1"/>
  <c r="O8" i="37"/>
  <c r="N8" i="37"/>
  <c r="N13" i="37" s="1"/>
  <c r="M8" i="37"/>
  <c r="M13" i="37" s="1"/>
  <c r="O17" i="37" s="1"/>
  <c r="J8" i="37"/>
  <c r="J13" i="37" s="1"/>
  <c r="I8" i="37"/>
  <c r="H8" i="37"/>
  <c r="H12" i="37" s="1"/>
  <c r="E8" i="37"/>
  <c r="E12" i="37" s="1"/>
  <c r="D8" i="37"/>
  <c r="D13" i="37" s="1"/>
  <c r="C8" i="37"/>
  <c r="T6" i="37"/>
  <c r="S6" i="37"/>
  <c r="R6" i="37"/>
  <c r="Q6" i="37"/>
  <c r="L6" i="37"/>
  <c r="O3" i="37" s="1"/>
  <c r="G6" i="37"/>
  <c r="I17" i="37" s="1"/>
  <c r="T5" i="37"/>
  <c r="S5" i="37"/>
  <c r="R5" i="37"/>
  <c r="L5" i="37"/>
  <c r="G5" i="37"/>
  <c r="T4" i="37"/>
  <c r="S4" i="37"/>
  <c r="R4" i="37"/>
  <c r="G4" i="37"/>
  <c r="I15" i="37" s="1"/>
  <c r="J3" i="37"/>
  <c r="H3" i="37"/>
  <c r="E3" i="37"/>
  <c r="D3" i="37"/>
  <c r="C3" i="37"/>
  <c r="E22" i="36"/>
  <c r="I17" i="36"/>
  <c r="D17" i="36"/>
  <c r="I16" i="36"/>
  <c r="D16" i="36"/>
  <c r="D15" i="36"/>
  <c r="I13" i="36"/>
  <c r="H13" i="36"/>
  <c r="E13" i="36"/>
  <c r="D13" i="36"/>
  <c r="J12" i="36"/>
  <c r="H12" i="36"/>
  <c r="E12" i="36"/>
  <c r="N11" i="36"/>
  <c r="I11" i="36"/>
  <c r="H11" i="36"/>
  <c r="E11" i="36"/>
  <c r="D11" i="36"/>
  <c r="O8" i="36"/>
  <c r="O13" i="36" s="1"/>
  <c r="N8" i="36"/>
  <c r="N13" i="36" s="1"/>
  <c r="M8" i="36"/>
  <c r="J8" i="36"/>
  <c r="I8" i="36"/>
  <c r="I12" i="36" s="1"/>
  <c r="J16" i="36" s="1"/>
  <c r="H8" i="36"/>
  <c r="E8" i="36"/>
  <c r="D8" i="36"/>
  <c r="D12" i="36" s="1"/>
  <c r="C8" i="36"/>
  <c r="C13" i="36" s="1"/>
  <c r="E17" i="36" s="1"/>
  <c r="E21" i="36" s="1"/>
  <c r="T6" i="36"/>
  <c r="S6" i="36"/>
  <c r="R6" i="36"/>
  <c r="L6" i="36"/>
  <c r="G6" i="36"/>
  <c r="J3" i="36" s="1"/>
  <c r="T5" i="36"/>
  <c r="S5" i="36"/>
  <c r="R5" i="36"/>
  <c r="L5" i="36"/>
  <c r="G5" i="36"/>
  <c r="T4" i="36"/>
  <c r="S4" i="36"/>
  <c r="R4" i="36"/>
  <c r="G4" i="36"/>
  <c r="N3" i="36"/>
  <c r="I3" i="36"/>
  <c r="H3" i="36"/>
  <c r="E3" i="36"/>
  <c r="D3" i="36"/>
  <c r="C3" i="36"/>
  <c r="N17" i="35"/>
  <c r="I17" i="35"/>
  <c r="D17" i="35"/>
  <c r="I16" i="35"/>
  <c r="D16" i="35"/>
  <c r="I15" i="35"/>
  <c r="D15" i="35"/>
  <c r="M13" i="35"/>
  <c r="O17" i="35" s="1"/>
  <c r="H13" i="35"/>
  <c r="C13" i="35"/>
  <c r="O12" i="35"/>
  <c r="N12" i="35"/>
  <c r="H12" i="35"/>
  <c r="E12" i="35"/>
  <c r="C12" i="35"/>
  <c r="O11" i="35"/>
  <c r="N11" i="35"/>
  <c r="M11" i="35"/>
  <c r="O15" i="35" s="1"/>
  <c r="D11" i="35"/>
  <c r="C11" i="35"/>
  <c r="O8" i="35"/>
  <c r="O13" i="35" s="1"/>
  <c r="N8" i="35"/>
  <c r="N13" i="35" s="1"/>
  <c r="M8" i="35"/>
  <c r="M12" i="35" s="1"/>
  <c r="O16" i="35" s="1"/>
  <c r="N22" i="35" s="1"/>
  <c r="J8" i="35"/>
  <c r="J11" i="35" s="1"/>
  <c r="I8" i="35"/>
  <c r="H8" i="35"/>
  <c r="H11" i="35" s="1"/>
  <c r="E8" i="35"/>
  <c r="D8" i="35"/>
  <c r="C8" i="35"/>
  <c r="T6" i="35"/>
  <c r="S6" i="35"/>
  <c r="R6" i="35"/>
  <c r="Q6" i="35"/>
  <c r="L6" i="35"/>
  <c r="G6" i="35"/>
  <c r="T5" i="35"/>
  <c r="S5" i="35"/>
  <c r="R5" i="35"/>
  <c r="G5" i="35"/>
  <c r="T4" i="35"/>
  <c r="T8" i="35" s="1"/>
  <c r="T13" i="35" s="1"/>
  <c r="S4" i="35"/>
  <c r="R4" i="35"/>
  <c r="Q4" i="35"/>
  <c r="S15" i="35" s="1"/>
  <c r="L4" i="35"/>
  <c r="N15" i="35" s="1"/>
  <c r="G4" i="35"/>
  <c r="R3" i="35"/>
  <c r="O3" i="35"/>
  <c r="M3" i="35"/>
  <c r="J3" i="35"/>
  <c r="H3" i="35"/>
  <c r="E3" i="35"/>
  <c r="D3" i="35"/>
  <c r="C3" i="35"/>
  <c r="I17" i="34"/>
  <c r="D17" i="34"/>
  <c r="D16" i="34"/>
  <c r="N15" i="34"/>
  <c r="I15" i="34"/>
  <c r="D15" i="34"/>
  <c r="O13" i="34"/>
  <c r="N13" i="34"/>
  <c r="M13" i="34"/>
  <c r="O17" i="34" s="1"/>
  <c r="E12" i="34"/>
  <c r="C12" i="34"/>
  <c r="N11" i="34"/>
  <c r="M11" i="34"/>
  <c r="C11" i="34"/>
  <c r="T8" i="34"/>
  <c r="O8" i="34"/>
  <c r="O12" i="34" s="1"/>
  <c r="N8" i="34"/>
  <c r="N12" i="34" s="1"/>
  <c r="M8" i="34"/>
  <c r="M12" i="34" s="1"/>
  <c r="O16" i="34" s="1"/>
  <c r="J8" i="34"/>
  <c r="J11" i="34" s="1"/>
  <c r="I8" i="34"/>
  <c r="I11" i="34" s="1"/>
  <c r="H8" i="34"/>
  <c r="E8" i="34"/>
  <c r="D8" i="34"/>
  <c r="D13" i="34" s="1"/>
  <c r="C8" i="34"/>
  <c r="C13" i="34" s="1"/>
  <c r="T6" i="34"/>
  <c r="S6" i="34"/>
  <c r="R6" i="34"/>
  <c r="L6" i="34"/>
  <c r="G6" i="34"/>
  <c r="J3" i="34" s="1"/>
  <c r="T5" i="34"/>
  <c r="S5" i="34"/>
  <c r="R5" i="34"/>
  <c r="G5" i="34"/>
  <c r="I3" i="34" s="1"/>
  <c r="T4" i="34"/>
  <c r="S4" i="34"/>
  <c r="R4" i="34"/>
  <c r="Q4" i="34"/>
  <c r="S15" i="34" s="1"/>
  <c r="L4" i="34"/>
  <c r="G4" i="34"/>
  <c r="R3" i="34"/>
  <c r="O3" i="34"/>
  <c r="M3" i="34"/>
  <c r="H3" i="34"/>
  <c r="E3" i="34"/>
  <c r="D3" i="34"/>
  <c r="C3" i="34"/>
  <c r="I23" i="33"/>
  <c r="D17" i="33"/>
  <c r="N16" i="33"/>
  <c r="J16" i="33"/>
  <c r="D16" i="33"/>
  <c r="I15" i="33"/>
  <c r="D15" i="33"/>
  <c r="O13" i="33"/>
  <c r="N13" i="33"/>
  <c r="M13" i="33"/>
  <c r="O17" i="33" s="1"/>
  <c r="H13" i="33"/>
  <c r="D13" i="33"/>
  <c r="C13" i="33"/>
  <c r="N12" i="33"/>
  <c r="M12" i="33"/>
  <c r="O16" i="33" s="1"/>
  <c r="J12" i="33"/>
  <c r="H12" i="33"/>
  <c r="E12" i="33"/>
  <c r="O11" i="33"/>
  <c r="N11" i="33"/>
  <c r="H11" i="33"/>
  <c r="E11" i="33"/>
  <c r="D11" i="33"/>
  <c r="C11" i="33"/>
  <c r="T8" i="33"/>
  <c r="T12" i="33" s="1"/>
  <c r="S8" i="33"/>
  <c r="S12" i="33" s="1"/>
  <c r="O8" i="33"/>
  <c r="O12" i="33" s="1"/>
  <c r="N8" i="33"/>
  <c r="M8" i="33"/>
  <c r="M11" i="33" s="1"/>
  <c r="J8" i="33"/>
  <c r="I8" i="33"/>
  <c r="I12" i="33" s="1"/>
  <c r="H8" i="33"/>
  <c r="E8" i="33"/>
  <c r="E13" i="33" s="1"/>
  <c r="D8" i="33"/>
  <c r="D12" i="33" s="1"/>
  <c r="C8" i="33"/>
  <c r="C12" i="33" s="1"/>
  <c r="E16" i="33" s="1"/>
  <c r="T6" i="33"/>
  <c r="S6" i="33"/>
  <c r="R6" i="33"/>
  <c r="G6" i="33"/>
  <c r="L6" i="33" s="1"/>
  <c r="T5" i="33"/>
  <c r="S5" i="33"/>
  <c r="R5" i="33"/>
  <c r="L5" i="33"/>
  <c r="N3" i="33" s="1"/>
  <c r="G5" i="33"/>
  <c r="I16" i="33" s="1"/>
  <c r="T4" i="33"/>
  <c r="S4" i="33"/>
  <c r="S11" i="33" s="1"/>
  <c r="R4" i="33"/>
  <c r="L4" i="33"/>
  <c r="G4" i="33"/>
  <c r="J3" i="33"/>
  <c r="I3" i="33"/>
  <c r="H3" i="33"/>
  <c r="E3" i="33"/>
  <c r="D3" i="33"/>
  <c r="C3" i="33"/>
  <c r="D17" i="32"/>
  <c r="N16" i="32"/>
  <c r="D16" i="32"/>
  <c r="D15" i="32"/>
  <c r="O13" i="32"/>
  <c r="N13" i="32"/>
  <c r="E13" i="32"/>
  <c r="O12" i="32"/>
  <c r="I12" i="32"/>
  <c r="D12" i="32"/>
  <c r="C12" i="32"/>
  <c r="E16" i="32" s="1"/>
  <c r="T11" i="32"/>
  <c r="O11" i="32"/>
  <c r="I11" i="32"/>
  <c r="H11" i="32"/>
  <c r="E11" i="32"/>
  <c r="C11" i="32"/>
  <c r="T8" i="32"/>
  <c r="T12" i="32" s="1"/>
  <c r="O8" i="32"/>
  <c r="N8" i="32"/>
  <c r="N11" i="32" s="1"/>
  <c r="M8" i="32"/>
  <c r="J8" i="32"/>
  <c r="I8" i="32"/>
  <c r="I13" i="32" s="1"/>
  <c r="H8" i="32"/>
  <c r="H12" i="32" s="1"/>
  <c r="E8" i="32"/>
  <c r="E12" i="32" s="1"/>
  <c r="D8" i="32"/>
  <c r="D13" i="32" s="1"/>
  <c r="C8" i="32"/>
  <c r="C13" i="32" s="1"/>
  <c r="E17" i="32" s="1"/>
  <c r="T6" i="32"/>
  <c r="S6" i="32"/>
  <c r="R6" i="32"/>
  <c r="L6" i="32"/>
  <c r="O3" i="32" s="1"/>
  <c r="G6" i="32"/>
  <c r="I17" i="32" s="1"/>
  <c r="T5" i="32"/>
  <c r="S5" i="32"/>
  <c r="R5" i="32"/>
  <c r="L5" i="32"/>
  <c r="N3" i="32" s="1"/>
  <c r="G5" i="32"/>
  <c r="I16" i="32" s="1"/>
  <c r="T4" i="32"/>
  <c r="S4" i="32"/>
  <c r="R4" i="32"/>
  <c r="G4" i="32"/>
  <c r="J3" i="32"/>
  <c r="I3" i="32"/>
  <c r="H3" i="32"/>
  <c r="E3" i="32"/>
  <c r="D3" i="32"/>
  <c r="C3" i="32"/>
  <c r="AD24" i="31"/>
  <c r="V24" i="31"/>
  <c r="N24" i="31"/>
  <c r="F24" i="31"/>
  <c r="AD23" i="31"/>
  <c r="V23" i="31"/>
  <c r="N23" i="31"/>
  <c r="F23" i="31"/>
  <c r="AD22" i="31"/>
  <c r="V22" i="31"/>
  <c r="N22" i="31"/>
  <c r="F22" i="31"/>
  <c r="AD21" i="31"/>
  <c r="V21" i="31"/>
  <c r="N21" i="31"/>
  <c r="F21" i="31"/>
  <c r="AD20" i="31"/>
  <c r="V20" i="31"/>
  <c r="N20" i="31"/>
  <c r="F20" i="31"/>
  <c r="AD19" i="31"/>
  <c r="V19" i="31"/>
  <c r="N19" i="31"/>
  <c r="F19" i="31"/>
  <c r="AF8" i="31"/>
  <c r="AE8" i="31"/>
  <c r="T8" i="31"/>
  <c r="M8" i="31"/>
  <c r="F8" i="31"/>
  <c r="E8" i="31"/>
  <c r="C8" i="31"/>
  <c r="AA8" i="31" s="1"/>
  <c r="AF7" i="31"/>
  <c r="AE7" i="31"/>
  <c r="AB7" i="31"/>
  <c r="X7" i="31"/>
  <c r="V7" i="31"/>
  <c r="U7" i="31"/>
  <c r="T7" i="31"/>
  <c r="S7" i="31"/>
  <c r="P7" i="31"/>
  <c r="N7" i="31"/>
  <c r="M7" i="31"/>
  <c r="L7" i="31"/>
  <c r="K7" i="31"/>
  <c r="H7" i="31"/>
  <c r="F7" i="31"/>
  <c r="E7" i="31"/>
  <c r="D7" i="31"/>
  <c r="C7" i="31"/>
  <c r="AF6" i="31"/>
  <c r="AE6" i="31"/>
  <c r="AD6" i="31"/>
  <c r="U6" i="31"/>
  <c r="T6" i="31"/>
  <c r="S6" i="31"/>
  <c r="P6" i="31"/>
  <c r="M6" i="31"/>
  <c r="K6" i="31"/>
  <c r="C6" i="31"/>
  <c r="AA6" i="31" s="1"/>
  <c r="AF5" i="31"/>
  <c r="AE5" i="31"/>
  <c r="AD5" i="31"/>
  <c r="AC5" i="31"/>
  <c r="AB5" i="31"/>
  <c r="AA5" i="31"/>
  <c r="T5" i="31"/>
  <c r="C5" i="31"/>
  <c r="AF4" i="31"/>
  <c r="AE4" i="31"/>
  <c r="AB4" i="31"/>
  <c r="AA4" i="31"/>
  <c r="P4" i="31"/>
  <c r="M4" i="31"/>
  <c r="E4" i="31"/>
  <c r="C4" i="31"/>
  <c r="AE3" i="31"/>
  <c r="AD3" i="31"/>
  <c r="AB3" i="31"/>
  <c r="AA3" i="31"/>
  <c r="X3" i="31"/>
  <c r="T3" i="31"/>
  <c r="P3" i="31"/>
  <c r="M3" i="31"/>
  <c r="AC3" i="31" s="1"/>
  <c r="AF2" i="31"/>
  <c r="AE2" i="31"/>
  <c r="AD2" i="31"/>
  <c r="AC2" i="31"/>
  <c r="AB2" i="31"/>
  <c r="AA2" i="31"/>
  <c r="X2" i="31"/>
  <c r="W2" i="31"/>
  <c r="V2" i="31"/>
  <c r="U2" i="31"/>
  <c r="T2" i="31"/>
  <c r="S2" i="31"/>
  <c r="P2" i="31"/>
  <c r="O2" i="31"/>
  <c r="N2" i="31"/>
  <c r="M2" i="31"/>
  <c r="L2" i="31"/>
  <c r="K2" i="31"/>
  <c r="H2" i="31"/>
  <c r="G2" i="31"/>
  <c r="F2" i="31"/>
  <c r="E2" i="31"/>
  <c r="D2" i="31"/>
  <c r="C2" i="31"/>
  <c r="AQ79" i="29"/>
  <c r="AO79" i="29"/>
  <c r="AM79" i="29"/>
  <c r="AK79" i="29"/>
  <c r="AI79" i="29"/>
  <c r="AG79" i="29"/>
  <c r="V79" i="29"/>
  <c r="T79" i="29"/>
  <c r="R79" i="29"/>
  <c r="P79" i="29"/>
  <c r="N79" i="29"/>
  <c r="L79" i="29"/>
  <c r="AQ67" i="29"/>
  <c r="AO67" i="29"/>
  <c r="AM67" i="29"/>
  <c r="AK67" i="29"/>
  <c r="AI67" i="29"/>
  <c r="AG67" i="29"/>
  <c r="V67" i="29"/>
  <c r="T67" i="29"/>
  <c r="R67" i="29"/>
  <c r="P67" i="29"/>
  <c r="N67" i="29"/>
  <c r="L67" i="29"/>
  <c r="AQ55" i="29"/>
  <c r="AO55" i="29"/>
  <c r="AM55" i="29"/>
  <c r="AK55" i="29"/>
  <c r="AI55" i="29"/>
  <c r="AG55" i="29"/>
  <c r="V55" i="29"/>
  <c r="T55" i="29"/>
  <c r="R55" i="29"/>
  <c r="P55" i="29"/>
  <c r="N55" i="29"/>
  <c r="L55" i="29"/>
  <c r="AQ43" i="29"/>
  <c r="AO43" i="29"/>
  <c r="AM43" i="29"/>
  <c r="AK43" i="29"/>
  <c r="AI43" i="29"/>
  <c r="AG43" i="29"/>
  <c r="V43" i="29"/>
  <c r="T43" i="29"/>
  <c r="R43" i="29"/>
  <c r="P43" i="29"/>
  <c r="N43" i="29"/>
  <c r="L43" i="29"/>
  <c r="AQ32" i="29"/>
  <c r="AO32" i="29"/>
  <c r="AM32" i="29"/>
  <c r="AK32" i="29"/>
  <c r="AI32" i="29"/>
  <c r="AG32" i="29"/>
  <c r="V31" i="29"/>
  <c r="T31" i="29"/>
  <c r="R31" i="29"/>
  <c r="P31" i="29"/>
  <c r="N31" i="29"/>
  <c r="L31" i="29"/>
  <c r="AQ20" i="29"/>
  <c r="AO20" i="29"/>
  <c r="AM20" i="29"/>
  <c r="AK20" i="29"/>
  <c r="AI20" i="29"/>
  <c r="AG20" i="29"/>
  <c r="V20" i="29"/>
  <c r="T20" i="29"/>
  <c r="R20" i="29"/>
  <c r="P20" i="29"/>
  <c r="N20" i="29"/>
  <c r="L20" i="29"/>
  <c r="Y13" i="29"/>
  <c r="Y12" i="29"/>
  <c r="Y11" i="29"/>
  <c r="Y72" i="29" l="1"/>
  <c r="Y25" i="29"/>
  <c r="Y47" i="29"/>
  <c r="AT48" i="29"/>
  <c r="Y59" i="29"/>
  <c r="AT23" i="29"/>
  <c r="Y35" i="29"/>
  <c r="Y83" i="29"/>
  <c r="AT58" i="29"/>
  <c r="Y24" i="29"/>
  <c r="Y84" i="29"/>
  <c r="AT47" i="29"/>
  <c r="AT71" i="29"/>
  <c r="AT37" i="29"/>
  <c r="Y58" i="29"/>
  <c r="AT84" i="29"/>
  <c r="AT24" i="29"/>
  <c r="Y36" i="29"/>
  <c r="Y71" i="29"/>
  <c r="AT70" i="29"/>
  <c r="AT82" i="29"/>
  <c r="X16" i="31"/>
  <c r="U16" i="31"/>
  <c r="U12" i="31"/>
  <c r="AF10" i="31"/>
  <c r="AF14" i="31" s="1"/>
  <c r="D12" i="31"/>
  <c r="F14" i="31"/>
  <c r="F12" i="31"/>
  <c r="F16" i="31"/>
  <c r="F15" i="31"/>
  <c r="F17" i="31"/>
  <c r="D17" i="31"/>
  <c r="D16" i="31"/>
  <c r="D15" i="31"/>
  <c r="D14" i="31"/>
  <c r="J11" i="32"/>
  <c r="J15" i="32" s="1"/>
  <c r="J12" i="32"/>
  <c r="AD4" i="31"/>
  <c r="AD8" i="31"/>
  <c r="R8" i="32"/>
  <c r="R12" i="32" s="1"/>
  <c r="Q6" i="33"/>
  <c r="O3" i="33"/>
  <c r="N23" i="33"/>
  <c r="N22" i="33"/>
  <c r="N21" i="33"/>
  <c r="N27" i="33"/>
  <c r="H13" i="34"/>
  <c r="H11" i="34"/>
  <c r="J15" i="34" s="1"/>
  <c r="H12" i="34"/>
  <c r="Q5" i="37"/>
  <c r="N16" i="37"/>
  <c r="N3" i="37"/>
  <c r="O27" i="37"/>
  <c r="O23" i="37"/>
  <c r="O22" i="37"/>
  <c r="O21" i="37"/>
  <c r="N17" i="34"/>
  <c r="Q6" i="34"/>
  <c r="AC8" i="31"/>
  <c r="J16" i="32"/>
  <c r="AC7" i="31"/>
  <c r="AA7" i="31"/>
  <c r="O15" i="33"/>
  <c r="S8" i="34"/>
  <c r="S12" i="34" s="1"/>
  <c r="R13" i="34"/>
  <c r="N27" i="34"/>
  <c r="N23" i="34"/>
  <c r="N21" i="34"/>
  <c r="N22" i="34"/>
  <c r="AB6" i="31"/>
  <c r="Q5" i="32"/>
  <c r="O27" i="33"/>
  <c r="O23" i="33"/>
  <c r="O21" i="33"/>
  <c r="O22" i="33"/>
  <c r="S11" i="35"/>
  <c r="S8" i="35"/>
  <c r="S17" i="35"/>
  <c r="T3" i="35"/>
  <c r="I11" i="35"/>
  <c r="I12" i="35"/>
  <c r="I13" i="35"/>
  <c r="J17" i="35"/>
  <c r="S13" i="36"/>
  <c r="S8" i="36"/>
  <c r="S12" i="36" s="1"/>
  <c r="M12" i="36"/>
  <c r="M13" i="36"/>
  <c r="O17" i="36" s="1"/>
  <c r="M11" i="36"/>
  <c r="N22" i="39"/>
  <c r="N27" i="39"/>
  <c r="N23" i="39"/>
  <c r="AD7" i="31"/>
  <c r="E27" i="32"/>
  <c r="E23" i="32"/>
  <c r="E21" i="32"/>
  <c r="E22" i="32"/>
  <c r="D21" i="32"/>
  <c r="D23" i="32"/>
  <c r="D27" i="32"/>
  <c r="D22" i="32"/>
  <c r="N17" i="33"/>
  <c r="O21" i="34"/>
  <c r="O27" i="34"/>
  <c r="O23" i="34"/>
  <c r="O22" i="34"/>
  <c r="O21" i="35"/>
  <c r="O22" i="35"/>
  <c r="O23" i="35"/>
  <c r="O27" i="35"/>
  <c r="N16" i="36"/>
  <c r="Q5" i="36"/>
  <c r="I22" i="33"/>
  <c r="I27" i="33"/>
  <c r="I21" i="33"/>
  <c r="M13" i="32"/>
  <c r="O17" i="32" s="1"/>
  <c r="M11" i="32"/>
  <c r="O15" i="32" s="1"/>
  <c r="M12" i="32"/>
  <c r="J13" i="32"/>
  <c r="D27" i="33"/>
  <c r="D23" i="33"/>
  <c r="D21" i="33"/>
  <c r="D22" i="33"/>
  <c r="J17" i="33"/>
  <c r="AC4" i="31"/>
  <c r="I15" i="32"/>
  <c r="L4" i="32"/>
  <c r="Q4" i="33"/>
  <c r="M3" i="33"/>
  <c r="N15" i="33"/>
  <c r="AC6" i="31"/>
  <c r="S13" i="33"/>
  <c r="J8" i="39"/>
  <c r="J13" i="39" s="1"/>
  <c r="T4" i="39"/>
  <c r="T8" i="40"/>
  <c r="T12" i="40"/>
  <c r="N8" i="40"/>
  <c r="N13" i="40" s="1"/>
  <c r="T13" i="32"/>
  <c r="J13" i="33"/>
  <c r="J11" i="33"/>
  <c r="D12" i="35"/>
  <c r="E16" i="35" s="1"/>
  <c r="D13" i="35"/>
  <c r="R8" i="35"/>
  <c r="T11" i="35"/>
  <c r="N12" i="36"/>
  <c r="AF3" i="31"/>
  <c r="R11" i="32"/>
  <c r="H13" i="32"/>
  <c r="J17" i="32" s="1"/>
  <c r="Q5" i="33"/>
  <c r="T13" i="33"/>
  <c r="I17" i="33"/>
  <c r="R8" i="34"/>
  <c r="J12" i="34"/>
  <c r="J13" i="34"/>
  <c r="T11" i="36"/>
  <c r="T8" i="36"/>
  <c r="T12" i="36" s="1"/>
  <c r="N17" i="36"/>
  <c r="Q6" i="36"/>
  <c r="O3" i="36"/>
  <c r="I27" i="36"/>
  <c r="I23" i="36"/>
  <c r="I21" i="36"/>
  <c r="I22" i="36"/>
  <c r="S17" i="37"/>
  <c r="T3" i="37"/>
  <c r="I12" i="37"/>
  <c r="I13" i="37"/>
  <c r="I11" i="37"/>
  <c r="E23" i="37"/>
  <c r="E21" i="37"/>
  <c r="E22" i="37"/>
  <c r="E27" i="37"/>
  <c r="T13" i="43"/>
  <c r="T8" i="43"/>
  <c r="R8" i="33"/>
  <c r="R12" i="33" s="1"/>
  <c r="T16" i="33" s="1"/>
  <c r="E17" i="33"/>
  <c r="I12" i="34"/>
  <c r="I13" i="34"/>
  <c r="T12" i="35"/>
  <c r="Q6" i="32"/>
  <c r="D11" i="32"/>
  <c r="E15" i="32" s="1"/>
  <c r="N12" i="32"/>
  <c r="N17" i="32"/>
  <c r="E13" i="34"/>
  <c r="E17" i="34" s="1"/>
  <c r="E11" i="34"/>
  <c r="O11" i="34"/>
  <c r="O15" i="34" s="1"/>
  <c r="J15" i="35"/>
  <c r="J13" i="35"/>
  <c r="I16" i="37"/>
  <c r="I3" i="37"/>
  <c r="J11" i="37"/>
  <c r="N16" i="38"/>
  <c r="Q5" i="38"/>
  <c r="N3" i="38"/>
  <c r="T11" i="34"/>
  <c r="M27" i="35"/>
  <c r="M23" i="35"/>
  <c r="O25" i="35" s="1"/>
  <c r="O29" i="35" s="1"/>
  <c r="M21" i="35"/>
  <c r="M22" i="35"/>
  <c r="N25" i="35" s="1"/>
  <c r="J12" i="35"/>
  <c r="J16" i="35" s="1"/>
  <c r="T13" i="36"/>
  <c r="D11" i="34"/>
  <c r="E15" i="34" s="1"/>
  <c r="D12" i="34"/>
  <c r="E16" i="34" s="1"/>
  <c r="T12" i="34"/>
  <c r="I3" i="35"/>
  <c r="L5" i="35"/>
  <c r="N27" i="35"/>
  <c r="N21" i="35"/>
  <c r="E23" i="36"/>
  <c r="E27" i="36"/>
  <c r="D22" i="37"/>
  <c r="D23" i="37"/>
  <c r="E25" i="37" s="1"/>
  <c r="E29" i="37" s="1"/>
  <c r="D21" i="37"/>
  <c r="D27" i="37"/>
  <c r="E15" i="33"/>
  <c r="L5" i="34"/>
  <c r="S13" i="34"/>
  <c r="I16" i="34"/>
  <c r="N23" i="35"/>
  <c r="L4" i="36"/>
  <c r="I15" i="36"/>
  <c r="C27" i="37"/>
  <c r="C22" i="37"/>
  <c r="D25" i="37" s="1"/>
  <c r="D29" i="37" s="1"/>
  <c r="C21" i="37"/>
  <c r="J12" i="37"/>
  <c r="H3" i="38"/>
  <c r="I15" i="38"/>
  <c r="L4" i="38"/>
  <c r="C12" i="38"/>
  <c r="C11" i="38"/>
  <c r="AB8" i="31"/>
  <c r="I13" i="33"/>
  <c r="I11" i="33"/>
  <c r="T11" i="33"/>
  <c r="T13" i="34"/>
  <c r="S12" i="35"/>
  <c r="R8" i="37"/>
  <c r="S4" i="39"/>
  <c r="I8" i="39"/>
  <c r="I11" i="39"/>
  <c r="L5" i="39"/>
  <c r="I3" i="39"/>
  <c r="I16" i="39"/>
  <c r="H12" i="41"/>
  <c r="H11" i="41"/>
  <c r="H13" i="41"/>
  <c r="Q6" i="38"/>
  <c r="O3" i="38"/>
  <c r="S16" i="40"/>
  <c r="S3" i="40"/>
  <c r="K2" i="46"/>
  <c r="K11" i="46"/>
  <c r="N3" i="46"/>
  <c r="E13" i="35"/>
  <c r="E17" i="35" s="1"/>
  <c r="E11" i="35"/>
  <c r="E15" i="35" s="1"/>
  <c r="J13" i="36"/>
  <c r="J17" i="36" s="1"/>
  <c r="J11" i="36"/>
  <c r="J15" i="36" s="1"/>
  <c r="J16" i="37"/>
  <c r="J12" i="38"/>
  <c r="T5" i="38"/>
  <c r="M8" i="38"/>
  <c r="N17" i="38"/>
  <c r="T5" i="39"/>
  <c r="E8" i="39"/>
  <c r="E12" i="39" s="1"/>
  <c r="E16" i="39" s="1"/>
  <c r="M13" i="39"/>
  <c r="O17" i="39" s="1"/>
  <c r="S15" i="40"/>
  <c r="R3" i="40"/>
  <c r="E16" i="40"/>
  <c r="R8" i="41"/>
  <c r="R13" i="41" s="1"/>
  <c r="E12" i="41"/>
  <c r="E13" i="41"/>
  <c r="E11" i="41"/>
  <c r="R12" i="39"/>
  <c r="S17" i="39"/>
  <c r="S13" i="35"/>
  <c r="R13" i="38"/>
  <c r="T11" i="41"/>
  <c r="T13" i="41"/>
  <c r="S3" i="44"/>
  <c r="S16" i="44"/>
  <c r="O13" i="44"/>
  <c r="O11" i="44"/>
  <c r="O12" i="44"/>
  <c r="S8" i="32"/>
  <c r="S11" i="32" s="1"/>
  <c r="S11" i="36"/>
  <c r="R11" i="37"/>
  <c r="H13" i="38"/>
  <c r="H12" i="38"/>
  <c r="M13" i="38"/>
  <c r="H13" i="40"/>
  <c r="E13" i="40"/>
  <c r="E11" i="40"/>
  <c r="E15" i="40" s="1"/>
  <c r="T3" i="41"/>
  <c r="S17" i="41"/>
  <c r="I13" i="42"/>
  <c r="J17" i="42" s="1"/>
  <c r="I8" i="42"/>
  <c r="N15" i="44"/>
  <c r="M3" i="44"/>
  <c r="Q4" i="44"/>
  <c r="N8" i="44"/>
  <c r="N13" i="44"/>
  <c r="I13" i="38"/>
  <c r="I12" i="38"/>
  <c r="M3" i="40"/>
  <c r="M12" i="40"/>
  <c r="M8" i="40"/>
  <c r="R5" i="40"/>
  <c r="I13" i="40"/>
  <c r="I8" i="40"/>
  <c r="H8" i="40"/>
  <c r="N15" i="42"/>
  <c r="M3" i="42"/>
  <c r="Q4" i="42"/>
  <c r="Q4" i="43"/>
  <c r="M3" i="43"/>
  <c r="N15" i="43"/>
  <c r="S17" i="43"/>
  <c r="T3" i="43"/>
  <c r="C12" i="36"/>
  <c r="E16" i="36" s="1"/>
  <c r="O12" i="36"/>
  <c r="M12" i="37"/>
  <c r="S13" i="37"/>
  <c r="R11" i="38"/>
  <c r="S6" i="38"/>
  <c r="D8" i="38"/>
  <c r="D13" i="38" s="1"/>
  <c r="E17" i="38" s="1"/>
  <c r="J12" i="39"/>
  <c r="N17" i="40"/>
  <c r="Q6" i="40"/>
  <c r="O3" i="40"/>
  <c r="O3" i="42"/>
  <c r="Q6" i="42"/>
  <c r="N17" i="42"/>
  <c r="O9" i="47"/>
  <c r="O8" i="47"/>
  <c r="R8" i="36"/>
  <c r="R12" i="36" s="1"/>
  <c r="T16" i="36" s="1"/>
  <c r="L4" i="37"/>
  <c r="H11" i="37"/>
  <c r="J15" i="37" s="1"/>
  <c r="N12" i="37"/>
  <c r="H13" i="37"/>
  <c r="J17" i="37" s="1"/>
  <c r="E13" i="38"/>
  <c r="E11" i="38"/>
  <c r="N21" i="39"/>
  <c r="N11" i="39"/>
  <c r="O15" i="39" s="1"/>
  <c r="S16" i="41"/>
  <c r="S3" i="41"/>
  <c r="H12" i="46"/>
  <c r="C11" i="36"/>
  <c r="E15" i="36" s="1"/>
  <c r="O11" i="36"/>
  <c r="S8" i="37"/>
  <c r="S11" i="37" s="1"/>
  <c r="M11" i="37"/>
  <c r="O15" i="37" s="1"/>
  <c r="N8" i="38"/>
  <c r="J3" i="39"/>
  <c r="I17" i="39"/>
  <c r="H13" i="39"/>
  <c r="N3" i="40"/>
  <c r="T12" i="41"/>
  <c r="E15" i="42"/>
  <c r="C23" i="42" s="1"/>
  <c r="H8" i="46"/>
  <c r="H9" i="46"/>
  <c r="T8" i="37"/>
  <c r="T12" i="37" s="1"/>
  <c r="N11" i="37"/>
  <c r="T4" i="38"/>
  <c r="J8" i="38"/>
  <c r="J13" i="38" s="1"/>
  <c r="H11" i="39"/>
  <c r="D13" i="42"/>
  <c r="E17" i="42" s="1"/>
  <c r="D12" i="42"/>
  <c r="E16" i="42" s="1"/>
  <c r="D11" i="42"/>
  <c r="O9" i="49"/>
  <c r="M8" i="41"/>
  <c r="I8" i="41"/>
  <c r="D13" i="43"/>
  <c r="D11" i="43"/>
  <c r="G9" i="45"/>
  <c r="H12" i="45" s="1"/>
  <c r="G6" i="45"/>
  <c r="G8" i="45" s="1"/>
  <c r="H11" i="45" s="1"/>
  <c r="L8" i="46"/>
  <c r="L11" i="46" s="1"/>
  <c r="L9" i="46"/>
  <c r="L12" i="46" s="1"/>
  <c r="R11" i="39"/>
  <c r="R8" i="39"/>
  <c r="R13" i="39" s="1"/>
  <c r="R6" i="40"/>
  <c r="J13" i="41"/>
  <c r="J11" i="41"/>
  <c r="T13" i="42"/>
  <c r="E13" i="43"/>
  <c r="E11" i="43"/>
  <c r="P6" i="47"/>
  <c r="P8" i="47" s="1"/>
  <c r="G8" i="47"/>
  <c r="H11" i="47" s="1"/>
  <c r="G9" i="47"/>
  <c r="H12" i="47" s="1"/>
  <c r="D13" i="39"/>
  <c r="D11" i="39"/>
  <c r="S6" i="40"/>
  <c r="R5" i="41"/>
  <c r="N8" i="41"/>
  <c r="N13" i="41"/>
  <c r="S6" i="42"/>
  <c r="H8" i="43"/>
  <c r="H13" i="43"/>
  <c r="J17" i="43" s="1"/>
  <c r="H8" i="44"/>
  <c r="R5" i="44"/>
  <c r="D11" i="45"/>
  <c r="N16" i="43"/>
  <c r="N3" i="43"/>
  <c r="Q5" i="43"/>
  <c r="I8" i="44"/>
  <c r="S6" i="44"/>
  <c r="I13" i="44"/>
  <c r="M11" i="44"/>
  <c r="M12" i="44"/>
  <c r="T11" i="42"/>
  <c r="N8" i="42"/>
  <c r="N13" i="42" s="1"/>
  <c r="O17" i="42" s="1"/>
  <c r="T8" i="44"/>
  <c r="H8" i="45"/>
  <c r="H9" i="45"/>
  <c r="O6" i="48"/>
  <c r="O8" i="48" s="1"/>
  <c r="P11" i="48" s="1"/>
  <c r="R10" i="30" s="1"/>
  <c r="S6" i="41"/>
  <c r="H12" i="42"/>
  <c r="M8" i="43"/>
  <c r="M13" i="43" s="1"/>
  <c r="O17" i="43" s="1"/>
  <c r="I12" i="43"/>
  <c r="C11" i="44"/>
  <c r="E15" i="44" s="1"/>
  <c r="C12" i="44"/>
  <c r="E16" i="44" s="1"/>
  <c r="G12" i="46"/>
  <c r="J4" i="46"/>
  <c r="K12" i="48"/>
  <c r="L2" i="48"/>
  <c r="L8" i="48"/>
  <c r="K2" i="49"/>
  <c r="N3" i="49"/>
  <c r="K11" i="49"/>
  <c r="D13" i="40"/>
  <c r="E17" i="40" s="1"/>
  <c r="D8" i="41"/>
  <c r="R6" i="42"/>
  <c r="J13" i="42"/>
  <c r="S6" i="43"/>
  <c r="N13" i="43"/>
  <c r="N8" i="43"/>
  <c r="O4" i="45"/>
  <c r="C9" i="45"/>
  <c r="D12" i="45" s="1"/>
  <c r="H2" i="46"/>
  <c r="P6" i="46"/>
  <c r="P8" i="46" s="1"/>
  <c r="O2" i="47"/>
  <c r="O11" i="47"/>
  <c r="C9" i="47"/>
  <c r="D12" i="47" s="1"/>
  <c r="C8" i="47"/>
  <c r="I3" i="40"/>
  <c r="J3" i="41"/>
  <c r="D13" i="41"/>
  <c r="E17" i="41" s="1"/>
  <c r="L5" i="42"/>
  <c r="J11" i="42"/>
  <c r="O3" i="43"/>
  <c r="C8" i="43"/>
  <c r="I17" i="44"/>
  <c r="L6" i="44"/>
  <c r="N4" i="48"/>
  <c r="N3" i="44"/>
  <c r="N16" i="44"/>
  <c r="O6" i="46"/>
  <c r="O8" i="46" s="1"/>
  <c r="P11" i="46" s="1"/>
  <c r="N10" i="30" s="1"/>
  <c r="N4" i="47"/>
  <c r="K12" i="47"/>
  <c r="L12" i="47"/>
  <c r="D12" i="49"/>
  <c r="M3" i="50"/>
  <c r="Q4" i="50"/>
  <c r="N15" i="50"/>
  <c r="R6" i="43"/>
  <c r="H3" i="44"/>
  <c r="K2" i="47"/>
  <c r="K11" i="47"/>
  <c r="P9" i="48"/>
  <c r="O8" i="49"/>
  <c r="I3" i="43"/>
  <c r="M13" i="44"/>
  <c r="O17" i="44" s="1"/>
  <c r="G2" i="46"/>
  <c r="G11" i="46"/>
  <c r="L8" i="47"/>
  <c r="K11" i="48"/>
  <c r="K2" i="48"/>
  <c r="N3" i="48"/>
  <c r="D12" i="48"/>
  <c r="P6" i="49"/>
  <c r="P8" i="49" s="1"/>
  <c r="R6" i="44"/>
  <c r="P8" i="48"/>
  <c r="K9" i="49"/>
  <c r="L12" i="49" s="1"/>
  <c r="R12" i="50"/>
  <c r="I8" i="50"/>
  <c r="C11" i="50"/>
  <c r="O11" i="50"/>
  <c r="C13" i="50"/>
  <c r="O13" i="50"/>
  <c r="C13" i="44"/>
  <c r="E17" i="44" s="1"/>
  <c r="J4" i="45"/>
  <c r="K8" i="45"/>
  <c r="C6" i="46"/>
  <c r="C8" i="46" s="1"/>
  <c r="C9" i="46"/>
  <c r="D12" i="46" s="1"/>
  <c r="H8" i="47"/>
  <c r="G8" i="49"/>
  <c r="H11" i="49" s="1"/>
  <c r="G11" i="49"/>
  <c r="G12" i="49"/>
  <c r="D11" i="50"/>
  <c r="J12" i="50"/>
  <c r="L8" i="45"/>
  <c r="D8" i="46"/>
  <c r="K8" i="47"/>
  <c r="P6" i="48"/>
  <c r="J4" i="49"/>
  <c r="H8" i="49"/>
  <c r="H3" i="50"/>
  <c r="S6" i="50"/>
  <c r="E11" i="50"/>
  <c r="M12" i="50"/>
  <c r="G8" i="46"/>
  <c r="H11" i="46" s="1"/>
  <c r="L6" i="47"/>
  <c r="L9" i="47" s="1"/>
  <c r="C8" i="48"/>
  <c r="D11" i="48" s="1"/>
  <c r="K6" i="49"/>
  <c r="K8" i="49" s="1"/>
  <c r="I3" i="50"/>
  <c r="S4" i="50"/>
  <c r="N8" i="50"/>
  <c r="N12" i="50" s="1"/>
  <c r="H11" i="50"/>
  <c r="H13" i="50"/>
  <c r="D8" i="48"/>
  <c r="L8" i="49"/>
  <c r="T4" i="50"/>
  <c r="G8" i="48"/>
  <c r="G12" i="48"/>
  <c r="G2" i="49"/>
  <c r="O6" i="49"/>
  <c r="D8" i="50"/>
  <c r="D12" i="50" s="1"/>
  <c r="R8" i="50"/>
  <c r="R13" i="50" s="1"/>
  <c r="J11" i="50"/>
  <c r="H6" i="48"/>
  <c r="H9" i="48" s="1"/>
  <c r="H12" i="48" s="1"/>
  <c r="L5" i="50"/>
  <c r="L6" i="50"/>
  <c r="E8" i="50"/>
  <c r="M11" i="50"/>
  <c r="I15" i="50"/>
  <c r="D8" i="47"/>
  <c r="K6" i="48"/>
  <c r="K8" i="48" s="1"/>
  <c r="L11" i="48" s="1"/>
  <c r="C8" i="49"/>
  <c r="D11" i="49" s="1"/>
  <c r="Y70" i="29"/>
  <c r="AT59" i="29"/>
  <c r="Y23" i="29"/>
  <c r="Y48" i="29"/>
  <c r="Y60" i="29"/>
  <c r="Y82" i="29"/>
  <c r="AT83" i="29"/>
  <c r="AT35" i="29"/>
  <c r="Y46" i="29"/>
  <c r="AT25" i="29"/>
  <c r="AT46" i="29"/>
  <c r="AT72" i="29"/>
  <c r="AT36" i="29"/>
  <c r="Y34" i="29"/>
  <c r="AT60" i="29"/>
  <c r="AC10" i="31" l="1"/>
  <c r="AC17" i="31"/>
  <c r="AF12" i="31"/>
  <c r="AF16" i="31"/>
  <c r="AF13" i="31"/>
  <c r="AF15" i="31"/>
  <c r="AF17" i="31"/>
  <c r="AD10" i="31"/>
  <c r="AB10" i="31"/>
  <c r="O27" i="42"/>
  <c r="O23" i="42"/>
  <c r="O21" i="42"/>
  <c r="O22" i="42"/>
  <c r="D27" i="34"/>
  <c r="D21" i="34"/>
  <c r="D23" i="34"/>
  <c r="D22" i="34"/>
  <c r="O27" i="43"/>
  <c r="O23" i="43"/>
  <c r="O22" i="43"/>
  <c r="O21" i="43"/>
  <c r="D22" i="39"/>
  <c r="D27" i="39"/>
  <c r="D23" i="39"/>
  <c r="D21" i="39"/>
  <c r="C21" i="32"/>
  <c r="C25" i="32" s="1"/>
  <c r="C27" i="32"/>
  <c r="C22" i="32"/>
  <c r="D25" i="32" s="1"/>
  <c r="D29" i="32" s="1"/>
  <c r="C23" i="32"/>
  <c r="E25" i="32" s="1"/>
  <c r="E29" i="32" s="1"/>
  <c r="C27" i="34"/>
  <c r="C23" i="34"/>
  <c r="E25" i="34" s="1"/>
  <c r="C22" i="34"/>
  <c r="C21" i="34"/>
  <c r="C25" i="34" s="1"/>
  <c r="C29" i="34" s="1"/>
  <c r="J22" i="36"/>
  <c r="J27" i="36"/>
  <c r="J23" i="36"/>
  <c r="J21" i="36"/>
  <c r="M21" i="39"/>
  <c r="M23" i="39"/>
  <c r="M27" i="39"/>
  <c r="M22" i="39"/>
  <c r="C21" i="35"/>
  <c r="C27" i="35"/>
  <c r="C22" i="35"/>
  <c r="C23" i="35"/>
  <c r="E22" i="35"/>
  <c r="E23" i="35"/>
  <c r="E21" i="35"/>
  <c r="E27" i="35"/>
  <c r="I27" i="35"/>
  <c r="I22" i="35"/>
  <c r="I23" i="35"/>
  <c r="I21" i="35"/>
  <c r="E22" i="34"/>
  <c r="E27" i="34"/>
  <c r="E23" i="34"/>
  <c r="E21" i="34"/>
  <c r="E23" i="41"/>
  <c r="E22" i="41"/>
  <c r="E27" i="41"/>
  <c r="E21" i="41"/>
  <c r="E27" i="42"/>
  <c r="E23" i="42"/>
  <c r="E21" i="42"/>
  <c r="E22" i="42"/>
  <c r="E22" i="38"/>
  <c r="E23" i="38"/>
  <c r="E27" i="38"/>
  <c r="E21" i="38"/>
  <c r="S22" i="33"/>
  <c r="W12" i="30"/>
  <c r="S27" i="33"/>
  <c r="S23" i="33"/>
  <c r="S21" i="33"/>
  <c r="S22" i="36"/>
  <c r="S27" i="36"/>
  <c r="T12" i="30"/>
  <c r="S21" i="36"/>
  <c r="S23" i="36"/>
  <c r="J23" i="42"/>
  <c r="J22" i="42"/>
  <c r="J27" i="42"/>
  <c r="J21" i="42"/>
  <c r="E16" i="50"/>
  <c r="E22" i="40"/>
  <c r="E23" i="40"/>
  <c r="E27" i="40"/>
  <c r="E21" i="40"/>
  <c r="C21" i="40"/>
  <c r="C23" i="40"/>
  <c r="C27" i="40"/>
  <c r="C22" i="40"/>
  <c r="D25" i="40" s="1"/>
  <c r="D29" i="40" s="1"/>
  <c r="D22" i="44"/>
  <c r="D21" i="44"/>
  <c r="D23" i="44"/>
  <c r="D27" i="44"/>
  <c r="E12" i="50"/>
  <c r="E13" i="50"/>
  <c r="D13" i="50"/>
  <c r="J27" i="43"/>
  <c r="J23" i="43"/>
  <c r="J21" i="43"/>
  <c r="J22" i="43"/>
  <c r="S13" i="40"/>
  <c r="O3" i="50"/>
  <c r="N17" i="50"/>
  <c r="Q6" i="50"/>
  <c r="N4" i="49"/>
  <c r="K12" i="49"/>
  <c r="L2" i="49"/>
  <c r="D11" i="46"/>
  <c r="I13" i="50"/>
  <c r="I11" i="50"/>
  <c r="I12" i="50"/>
  <c r="J16" i="50" s="1"/>
  <c r="R8" i="43"/>
  <c r="N11" i="43"/>
  <c r="N12" i="43"/>
  <c r="T11" i="44"/>
  <c r="T12" i="44"/>
  <c r="T13" i="44"/>
  <c r="O16" i="44"/>
  <c r="H12" i="43"/>
  <c r="J16" i="43" s="1"/>
  <c r="H11" i="43"/>
  <c r="J15" i="43" s="1"/>
  <c r="D22" i="42"/>
  <c r="D21" i="42"/>
  <c r="D23" i="42"/>
  <c r="E25" i="42" s="1"/>
  <c r="E29" i="42" s="1"/>
  <c r="D27" i="42"/>
  <c r="T8" i="38"/>
  <c r="T13" i="38" s="1"/>
  <c r="P11" i="47"/>
  <c r="P10" i="30" s="1"/>
  <c r="H12" i="40"/>
  <c r="H11" i="40"/>
  <c r="N11" i="44"/>
  <c r="O15" i="44" s="1"/>
  <c r="N12" i="44"/>
  <c r="S12" i="37"/>
  <c r="Q5" i="35"/>
  <c r="N16" i="35"/>
  <c r="N3" i="35"/>
  <c r="N29" i="35"/>
  <c r="S8" i="40"/>
  <c r="R12" i="35"/>
  <c r="T16" i="35" s="1"/>
  <c r="R11" i="35"/>
  <c r="T15" i="35" s="1"/>
  <c r="T11" i="40"/>
  <c r="T13" i="40"/>
  <c r="R13" i="35"/>
  <c r="T17" i="35" s="1"/>
  <c r="S13" i="32"/>
  <c r="H22" i="34"/>
  <c r="H27" i="34"/>
  <c r="H23" i="34"/>
  <c r="H21" i="34"/>
  <c r="P11" i="49"/>
  <c r="T10" i="30" s="1"/>
  <c r="M12" i="43"/>
  <c r="O16" i="43" s="1"/>
  <c r="M11" i="43"/>
  <c r="S15" i="50"/>
  <c r="R3" i="50"/>
  <c r="O9" i="46"/>
  <c r="P9" i="46"/>
  <c r="Q5" i="50"/>
  <c r="N3" i="50"/>
  <c r="N16" i="50"/>
  <c r="J17" i="50"/>
  <c r="R11" i="50"/>
  <c r="L11" i="45"/>
  <c r="N13" i="50"/>
  <c r="O17" i="50" s="1"/>
  <c r="P9" i="47"/>
  <c r="N11" i="50"/>
  <c r="O12" i="47"/>
  <c r="P2" i="47"/>
  <c r="D12" i="41"/>
  <c r="E16" i="41" s="1"/>
  <c r="D11" i="41"/>
  <c r="E15" i="41" s="1"/>
  <c r="P9" i="49"/>
  <c r="P12" i="49" s="1"/>
  <c r="U10" i="30" s="1"/>
  <c r="C22" i="36"/>
  <c r="D25" i="36" s="1"/>
  <c r="D29" i="36" s="1"/>
  <c r="C27" i="36"/>
  <c r="C23" i="36"/>
  <c r="C21" i="36"/>
  <c r="T13" i="37"/>
  <c r="P12" i="47"/>
  <c r="Q10" i="30" s="1"/>
  <c r="S17" i="40"/>
  <c r="T3" i="40"/>
  <c r="S13" i="38"/>
  <c r="I12" i="40"/>
  <c r="I11" i="40"/>
  <c r="R3" i="44"/>
  <c r="S15" i="44"/>
  <c r="J17" i="40"/>
  <c r="R11" i="41"/>
  <c r="T12" i="38"/>
  <c r="C25" i="37"/>
  <c r="C29" i="37" s="1"/>
  <c r="E31" i="37" s="1"/>
  <c r="E32" i="37" s="1"/>
  <c r="E33" i="37" s="1"/>
  <c r="R11" i="33"/>
  <c r="T15" i="33" s="1"/>
  <c r="M25" i="35"/>
  <c r="M29" i="35" s="1"/>
  <c r="H23" i="35"/>
  <c r="H21" i="35"/>
  <c r="H27" i="35"/>
  <c r="H22" i="35"/>
  <c r="S17" i="32"/>
  <c r="T3" i="32"/>
  <c r="E21" i="33"/>
  <c r="E23" i="33"/>
  <c r="E22" i="33"/>
  <c r="E27" i="33"/>
  <c r="S17" i="36"/>
  <c r="T3" i="36"/>
  <c r="R12" i="34"/>
  <c r="T16" i="34" s="1"/>
  <c r="R11" i="34"/>
  <c r="J11" i="39"/>
  <c r="O16" i="32"/>
  <c r="S8" i="38"/>
  <c r="J17" i="34"/>
  <c r="H23" i="32"/>
  <c r="H27" i="32"/>
  <c r="H21" i="32"/>
  <c r="H22" i="32"/>
  <c r="E17" i="39"/>
  <c r="J27" i="37"/>
  <c r="J23" i="37"/>
  <c r="J22" i="37"/>
  <c r="J21" i="37"/>
  <c r="Q5" i="34"/>
  <c r="N3" i="34"/>
  <c r="N16" i="34"/>
  <c r="S16" i="38"/>
  <c r="S3" i="38"/>
  <c r="M27" i="34"/>
  <c r="M23" i="34"/>
  <c r="O25" i="34" s="1"/>
  <c r="O29" i="34" s="1"/>
  <c r="M21" i="34"/>
  <c r="M25" i="34" s="1"/>
  <c r="M22" i="34"/>
  <c r="N25" i="34" s="1"/>
  <c r="N29" i="34" s="1"/>
  <c r="D23" i="35"/>
  <c r="D22" i="35"/>
  <c r="D27" i="35"/>
  <c r="D21" i="35"/>
  <c r="T8" i="39"/>
  <c r="T13" i="39" s="1"/>
  <c r="S15" i="33"/>
  <c r="R3" i="33"/>
  <c r="G21" i="31"/>
  <c r="M22" i="32"/>
  <c r="M27" i="32"/>
  <c r="M23" i="32"/>
  <c r="M21" i="32"/>
  <c r="S3" i="36"/>
  <c r="S16" i="36"/>
  <c r="J27" i="35"/>
  <c r="J22" i="35"/>
  <c r="J23" i="35"/>
  <c r="J21" i="35"/>
  <c r="T17" i="34"/>
  <c r="R13" i="32"/>
  <c r="T17" i="32" s="1"/>
  <c r="S17" i="38"/>
  <c r="T3" i="38"/>
  <c r="R13" i="33"/>
  <c r="T17" i="33" s="1"/>
  <c r="C27" i="33"/>
  <c r="C23" i="33"/>
  <c r="E25" i="33" s="1"/>
  <c r="C21" i="33"/>
  <c r="C25" i="33" s="1"/>
  <c r="C22" i="33"/>
  <c r="M3" i="32"/>
  <c r="Q4" i="32"/>
  <c r="N15" i="32"/>
  <c r="J22" i="33"/>
  <c r="J27" i="33"/>
  <c r="J21" i="33"/>
  <c r="J23" i="33"/>
  <c r="O27" i="32"/>
  <c r="O22" i="32"/>
  <c r="O21" i="32"/>
  <c r="O23" i="32"/>
  <c r="W19" i="31"/>
  <c r="W21" i="31"/>
  <c r="W20" i="31"/>
  <c r="W24" i="31"/>
  <c r="N16" i="42"/>
  <c r="N3" i="42"/>
  <c r="Q5" i="42"/>
  <c r="S13" i="43"/>
  <c r="S8" i="43"/>
  <c r="K12" i="46"/>
  <c r="L2" i="46"/>
  <c r="N4" i="46"/>
  <c r="I12" i="41"/>
  <c r="I11" i="41"/>
  <c r="I13" i="41"/>
  <c r="N16" i="39"/>
  <c r="Q5" i="39"/>
  <c r="N3" i="39"/>
  <c r="O16" i="50"/>
  <c r="E27" i="44"/>
  <c r="E23" i="44"/>
  <c r="E21" i="44"/>
  <c r="E22" i="44"/>
  <c r="T3" i="42"/>
  <c r="S17" i="42"/>
  <c r="I12" i="44"/>
  <c r="I11" i="44"/>
  <c r="R8" i="44"/>
  <c r="R11" i="44" s="1"/>
  <c r="M11" i="41"/>
  <c r="M12" i="41"/>
  <c r="M13" i="41"/>
  <c r="O17" i="41" s="1"/>
  <c r="J15" i="39"/>
  <c r="N13" i="38"/>
  <c r="O17" i="38" s="1"/>
  <c r="N11" i="38"/>
  <c r="N12" i="38"/>
  <c r="T11" i="37"/>
  <c r="O16" i="37"/>
  <c r="S15" i="43"/>
  <c r="R3" i="43"/>
  <c r="R12" i="40"/>
  <c r="R8" i="40"/>
  <c r="R11" i="40" s="1"/>
  <c r="J16" i="38"/>
  <c r="D22" i="40"/>
  <c r="D21" i="40"/>
  <c r="D23" i="40"/>
  <c r="D27" i="40"/>
  <c r="O11" i="46"/>
  <c r="O2" i="46"/>
  <c r="J17" i="41"/>
  <c r="I12" i="39"/>
  <c r="J16" i="39" s="1"/>
  <c r="I13" i="39"/>
  <c r="J17" i="39" s="1"/>
  <c r="Q4" i="38"/>
  <c r="M3" i="38"/>
  <c r="N15" i="38"/>
  <c r="T12" i="43"/>
  <c r="T11" i="43"/>
  <c r="O15" i="36"/>
  <c r="W22" i="31"/>
  <c r="I23" i="32"/>
  <c r="I22" i="32"/>
  <c r="I21" i="32"/>
  <c r="I27" i="32"/>
  <c r="S17" i="34"/>
  <c r="T3" i="34"/>
  <c r="T8" i="50"/>
  <c r="T11" i="50"/>
  <c r="L11" i="47"/>
  <c r="I27" i="37"/>
  <c r="I23" i="37"/>
  <c r="I22" i="37"/>
  <c r="I21" i="37"/>
  <c r="C27" i="42"/>
  <c r="C21" i="42"/>
  <c r="C25" i="42" s="1"/>
  <c r="C29" i="42" s="1"/>
  <c r="C22" i="42"/>
  <c r="H23" i="37"/>
  <c r="J25" i="37" s="1"/>
  <c r="J29" i="37" s="1"/>
  <c r="H21" i="37"/>
  <c r="H25" i="37" s="1"/>
  <c r="H29" i="37" s="1"/>
  <c r="H27" i="37"/>
  <c r="H22" i="37"/>
  <c r="R3" i="42"/>
  <c r="S15" i="42"/>
  <c r="I12" i="42"/>
  <c r="J16" i="42" s="1"/>
  <c r="I11" i="42"/>
  <c r="J15" i="42" s="1"/>
  <c r="J17" i="38"/>
  <c r="T17" i="38"/>
  <c r="T12" i="39"/>
  <c r="H27" i="36"/>
  <c r="H23" i="36"/>
  <c r="J25" i="36" s="1"/>
  <c r="J29" i="36" s="1"/>
  <c r="H22" i="36"/>
  <c r="I25" i="36" s="1"/>
  <c r="I29" i="36" s="1"/>
  <c r="H21" i="36"/>
  <c r="H25" i="36" s="1"/>
  <c r="J15" i="41"/>
  <c r="S8" i="39"/>
  <c r="J15" i="33"/>
  <c r="N15" i="36"/>
  <c r="Q4" i="36"/>
  <c r="M3" i="36"/>
  <c r="S12" i="32"/>
  <c r="T16" i="32" s="1"/>
  <c r="S16" i="33"/>
  <c r="S3" i="33"/>
  <c r="O22" i="36"/>
  <c r="O27" i="36"/>
  <c r="O23" i="36"/>
  <c r="O21" i="36"/>
  <c r="S11" i="34"/>
  <c r="J15" i="50"/>
  <c r="N4" i="45"/>
  <c r="K12" i="45"/>
  <c r="L2" i="45"/>
  <c r="O22" i="44"/>
  <c r="O23" i="44"/>
  <c r="O27" i="44"/>
  <c r="O21" i="44"/>
  <c r="C13" i="43"/>
  <c r="E17" i="43" s="1"/>
  <c r="C11" i="43"/>
  <c r="E15" i="43" s="1"/>
  <c r="R13" i="42"/>
  <c r="O11" i="49"/>
  <c r="O2" i="49"/>
  <c r="C22" i="44"/>
  <c r="D25" i="44" s="1"/>
  <c r="D29" i="44" s="1"/>
  <c r="C27" i="44"/>
  <c r="C23" i="44"/>
  <c r="E25" i="44" s="1"/>
  <c r="C21" i="44"/>
  <c r="H11" i="44"/>
  <c r="H13" i="44"/>
  <c r="J17" i="44" s="1"/>
  <c r="L11" i="49"/>
  <c r="R13" i="44"/>
  <c r="O2" i="48"/>
  <c r="O11" i="48"/>
  <c r="K9" i="48"/>
  <c r="L12" i="48" s="1"/>
  <c r="P2" i="48"/>
  <c r="O12" i="48"/>
  <c r="C12" i="43"/>
  <c r="E16" i="43" s="1"/>
  <c r="D11" i="47"/>
  <c r="O6" i="45"/>
  <c r="O8" i="45" s="1"/>
  <c r="P11" i="45" s="1"/>
  <c r="L10" i="30" s="1"/>
  <c r="S8" i="44"/>
  <c r="S13" i="44" s="1"/>
  <c r="S16" i="43"/>
  <c r="S3" i="43"/>
  <c r="H12" i="44"/>
  <c r="J16" i="44" s="1"/>
  <c r="R12" i="41"/>
  <c r="M22" i="37"/>
  <c r="M23" i="37"/>
  <c r="M21" i="37"/>
  <c r="M27" i="37"/>
  <c r="R8" i="42"/>
  <c r="Q4" i="37"/>
  <c r="N15" i="37"/>
  <c r="M3" i="37"/>
  <c r="D27" i="36"/>
  <c r="D23" i="36"/>
  <c r="D21" i="36"/>
  <c r="D22" i="36"/>
  <c r="M11" i="40"/>
  <c r="M13" i="40"/>
  <c r="O17" i="40" s="1"/>
  <c r="T15" i="37"/>
  <c r="J16" i="41"/>
  <c r="W23" i="31"/>
  <c r="J23" i="32"/>
  <c r="J22" i="32"/>
  <c r="J21" i="32"/>
  <c r="J27" i="32"/>
  <c r="N12" i="40"/>
  <c r="O16" i="40" s="1"/>
  <c r="N11" i="40"/>
  <c r="O16" i="36"/>
  <c r="M27" i="33"/>
  <c r="M23" i="33"/>
  <c r="O25" i="33" s="1"/>
  <c r="O29" i="33" s="1"/>
  <c r="M21" i="33"/>
  <c r="M25" i="33" s="1"/>
  <c r="M29" i="33" s="1"/>
  <c r="O31" i="33" s="1"/>
  <c r="O32" i="33" s="1"/>
  <c r="O33" i="33" s="1"/>
  <c r="M22" i="33"/>
  <c r="N25" i="33" s="1"/>
  <c r="N29" i="33" s="1"/>
  <c r="S16" i="37"/>
  <c r="S3" i="37"/>
  <c r="G22" i="31"/>
  <c r="N12" i="42"/>
  <c r="O16" i="42" s="1"/>
  <c r="N11" i="42"/>
  <c r="O15" i="42" s="1"/>
  <c r="E13" i="39"/>
  <c r="E11" i="39"/>
  <c r="E15" i="39" s="1"/>
  <c r="S8" i="50"/>
  <c r="S12" i="50" s="1"/>
  <c r="H8" i="48"/>
  <c r="H11" i="48" s="1"/>
  <c r="O9" i="48"/>
  <c r="P12" i="48" s="1"/>
  <c r="S10" i="30" s="1"/>
  <c r="E17" i="50"/>
  <c r="N11" i="41"/>
  <c r="N12" i="41"/>
  <c r="O15" i="50"/>
  <c r="E15" i="50"/>
  <c r="S8" i="42"/>
  <c r="N17" i="44"/>
  <c r="Q6" i="44"/>
  <c r="O3" i="44"/>
  <c r="R13" i="36"/>
  <c r="T17" i="36" s="1"/>
  <c r="R11" i="36"/>
  <c r="T15" i="36" s="1"/>
  <c r="D11" i="38"/>
  <c r="E15" i="38" s="1"/>
  <c r="D12" i="38"/>
  <c r="E16" i="38" s="1"/>
  <c r="O22" i="39"/>
  <c r="O21" i="39"/>
  <c r="O27" i="39"/>
  <c r="O23" i="39"/>
  <c r="M12" i="38"/>
  <c r="O16" i="38" s="1"/>
  <c r="M11" i="38"/>
  <c r="S8" i="41"/>
  <c r="R13" i="37"/>
  <c r="T17" i="37" s="1"/>
  <c r="R12" i="37"/>
  <c r="T16" i="37" s="1"/>
  <c r="J11" i="38"/>
  <c r="J15" i="38" s="1"/>
  <c r="O20" i="31"/>
  <c r="O24" i="31"/>
  <c r="O19" i="31"/>
  <c r="O23" i="31"/>
  <c r="T15" i="32"/>
  <c r="S16" i="32"/>
  <c r="S3" i="32"/>
  <c r="O22" i="31"/>
  <c r="J16" i="34"/>
  <c r="S17" i="33"/>
  <c r="T3" i="33"/>
  <c r="E116" i="1"/>
  <c r="F116" i="1"/>
  <c r="G116" i="1"/>
  <c r="H116" i="1"/>
  <c r="I116" i="1"/>
  <c r="J116" i="1"/>
  <c r="K116" i="1"/>
  <c r="L116" i="1"/>
  <c r="M116" i="1"/>
  <c r="N116" i="1"/>
  <c r="O116" i="1"/>
  <c r="P116" i="1"/>
  <c r="D116" i="1"/>
  <c r="Q97" i="1"/>
  <c r="O114" i="1"/>
  <c r="K114" i="1"/>
  <c r="I114" i="1"/>
  <c r="G114" i="1"/>
  <c r="D114" i="1"/>
  <c r="M114" i="1"/>
  <c r="Q147" i="1"/>
  <c r="M144" i="1"/>
  <c r="Q149" i="1"/>
  <c r="Q148" i="1"/>
  <c r="Q127" i="1"/>
  <c r="K144" i="1"/>
  <c r="I144" i="1"/>
  <c r="G144" i="1"/>
  <c r="D144" i="1"/>
  <c r="O144" i="1"/>
  <c r="D26" i="1"/>
  <c r="Q138" i="1"/>
  <c r="Q139" i="1"/>
  <c r="Q137" i="1"/>
  <c r="M134" i="1"/>
  <c r="K134" i="1"/>
  <c r="I134" i="1"/>
  <c r="G134" i="1"/>
  <c r="D134" i="1"/>
  <c r="O134" i="1"/>
  <c r="Q107" i="1"/>
  <c r="Q128" i="1"/>
  <c r="Q129" i="1"/>
  <c r="O124" i="1"/>
  <c r="K124" i="1"/>
  <c r="I124" i="1"/>
  <c r="G124" i="1"/>
  <c r="D124" i="1"/>
  <c r="M124" i="1"/>
  <c r="G104" i="1"/>
  <c r="I104" i="1"/>
  <c r="K104" i="1"/>
  <c r="O104" i="1"/>
  <c r="M104" i="1"/>
  <c r="D104" i="1"/>
  <c r="Q98" i="1"/>
  <c r="Q99" i="1"/>
  <c r="I94" i="1"/>
  <c r="G94" i="1"/>
  <c r="D94" i="1"/>
  <c r="K94" i="1"/>
  <c r="O94" i="1"/>
  <c r="M94" i="1"/>
  <c r="O84" i="1"/>
  <c r="M84" i="1"/>
  <c r="K84" i="1"/>
  <c r="G84" i="1"/>
  <c r="D84" i="1"/>
  <c r="D74" i="1"/>
  <c r="I84" i="1"/>
  <c r="D87" i="1"/>
  <c r="E87" i="1"/>
  <c r="G87" i="1"/>
  <c r="H87" i="1"/>
  <c r="I87" i="1"/>
  <c r="J87" i="1"/>
  <c r="L87" i="1"/>
  <c r="M87" i="1"/>
  <c r="N87" i="1"/>
  <c r="O87" i="1"/>
  <c r="P87" i="1"/>
  <c r="D88" i="1"/>
  <c r="E88" i="1"/>
  <c r="G88" i="1"/>
  <c r="H88" i="1"/>
  <c r="I88" i="1"/>
  <c r="J88" i="1"/>
  <c r="L88" i="1"/>
  <c r="M88" i="1"/>
  <c r="N88" i="1"/>
  <c r="O88" i="1"/>
  <c r="P88" i="1"/>
  <c r="D89" i="1"/>
  <c r="E89" i="1"/>
  <c r="G89" i="1"/>
  <c r="H89" i="1"/>
  <c r="I89" i="1"/>
  <c r="J89" i="1"/>
  <c r="L89" i="1"/>
  <c r="M89" i="1"/>
  <c r="N89" i="1"/>
  <c r="O89" i="1"/>
  <c r="P89" i="1"/>
  <c r="E86" i="1"/>
  <c r="F86" i="1"/>
  <c r="G86" i="1"/>
  <c r="H86" i="1"/>
  <c r="I86" i="1"/>
  <c r="J86" i="1"/>
  <c r="K86" i="1"/>
  <c r="L86" i="1"/>
  <c r="M86" i="1"/>
  <c r="N86" i="1"/>
  <c r="O86" i="1"/>
  <c r="P86" i="1"/>
  <c r="D86" i="1"/>
  <c r="O74" i="1"/>
  <c r="M74" i="1"/>
  <c r="K74" i="1"/>
  <c r="G74" i="1"/>
  <c r="D54" i="1"/>
  <c r="I74" i="1"/>
  <c r="D77" i="1"/>
  <c r="E77" i="1"/>
  <c r="G77" i="1"/>
  <c r="H77" i="1"/>
  <c r="I77" i="1"/>
  <c r="J77" i="1"/>
  <c r="L77" i="1"/>
  <c r="M77" i="1"/>
  <c r="N77" i="1"/>
  <c r="O77" i="1"/>
  <c r="P77" i="1"/>
  <c r="D78" i="1"/>
  <c r="E78" i="1"/>
  <c r="G78" i="1"/>
  <c r="H78" i="1"/>
  <c r="I78" i="1"/>
  <c r="J78" i="1"/>
  <c r="L78" i="1"/>
  <c r="M78" i="1"/>
  <c r="N78" i="1"/>
  <c r="O78" i="1"/>
  <c r="P78" i="1"/>
  <c r="D79" i="1"/>
  <c r="E79" i="1"/>
  <c r="G79" i="1"/>
  <c r="H79" i="1"/>
  <c r="I79" i="1"/>
  <c r="J79" i="1"/>
  <c r="L79" i="1"/>
  <c r="M79" i="1"/>
  <c r="N79" i="1"/>
  <c r="O79" i="1"/>
  <c r="P79" i="1"/>
  <c r="E76" i="1"/>
  <c r="F76" i="1"/>
  <c r="G76" i="1"/>
  <c r="H76" i="1"/>
  <c r="I76" i="1"/>
  <c r="J76" i="1"/>
  <c r="K76" i="1"/>
  <c r="L76" i="1"/>
  <c r="M76" i="1"/>
  <c r="N76" i="1"/>
  <c r="O76" i="1"/>
  <c r="P76" i="1"/>
  <c r="D76" i="1"/>
  <c r="O64" i="1"/>
  <c r="O54" i="1"/>
  <c r="M64" i="1"/>
  <c r="M54" i="1"/>
  <c r="K64" i="1"/>
  <c r="K54" i="1"/>
  <c r="I64" i="1"/>
  <c r="I54" i="1"/>
  <c r="D64" i="1"/>
  <c r="G64" i="1"/>
  <c r="D67" i="1"/>
  <c r="E67" i="1"/>
  <c r="G67" i="1"/>
  <c r="H67" i="1"/>
  <c r="I67" i="1"/>
  <c r="J67" i="1"/>
  <c r="L67" i="1"/>
  <c r="M67" i="1"/>
  <c r="N67" i="1"/>
  <c r="O67" i="1"/>
  <c r="P67" i="1"/>
  <c r="D68" i="1"/>
  <c r="E68" i="1"/>
  <c r="G68" i="1"/>
  <c r="H68" i="1"/>
  <c r="I68" i="1"/>
  <c r="J68" i="1"/>
  <c r="L68" i="1"/>
  <c r="M68" i="1"/>
  <c r="N68" i="1"/>
  <c r="O68" i="1"/>
  <c r="P68" i="1"/>
  <c r="D69" i="1"/>
  <c r="E69" i="1"/>
  <c r="G69" i="1"/>
  <c r="H69" i="1"/>
  <c r="I69" i="1"/>
  <c r="J69" i="1"/>
  <c r="L69" i="1"/>
  <c r="M69" i="1"/>
  <c r="N69" i="1"/>
  <c r="O69" i="1"/>
  <c r="P69" i="1"/>
  <c r="E66" i="1"/>
  <c r="F66" i="1"/>
  <c r="G66" i="1"/>
  <c r="H66" i="1"/>
  <c r="I66" i="1"/>
  <c r="J66" i="1"/>
  <c r="K66" i="1"/>
  <c r="L66" i="1"/>
  <c r="M66" i="1"/>
  <c r="N66" i="1"/>
  <c r="O66" i="1"/>
  <c r="P66" i="1"/>
  <c r="D66" i="1"/>
  <c r="G34" i="1"/>
  <c r="G54" i="1"/>
  <c r="D57" i="1"/>
  <c r="E57" i="1"/>
  <c r="G57" i="1"/>
  <c r="H57" i="1"/>
  <c r="I57" i="1"/>
  <c r="J57" i="1"/>
  <c r="L57" i="1"/>
  <c r="M57" i="1"/>
  <c r="N57" i="1"/>
  <c r="O57" i="1"/>
  <c r="P57" i="1"/>
  <c r="D58" i="1"/>
  <c r="E58" i="1"/>
  <c r="G58" i="1"/>
  <c r="H58" i="1"/>
  <c r="I58" i="1"/>
  <c r="J58" i="1"/>
  <c r="L58" i="1"/>
  <c r="M58" i="1"/>
  <c r="N58" i="1"/>
  <c r="O58" i="1"/>
  <c r="P58" i="1"/>
  <c r="D59" i="1"/>
  <c r="E59" i="1"/>
  <c r="G59" i="1"/>
  <c r="H59" i="1"/>
  <c r="I59" i="1"/>
  <c r="J59" i="1"/>
  <c r="L59" i="1"/>
  <c r="M59" i="1"/>
  <c r="N59" i="1"/>
  <c r="O59" i="1"/>
  <c r="P59" i="1"/>
  <c r="E56" i="1"/>
  <c r="F56" i="1"/>
  <c r="G56" i="1"/>
  <c r="H56" i="1"/>
  <c r="I56" i="1"/>
  <c r="J56" i="1"/>
  <c r="K56" i="1"/>
  <c r="L56" i="1"/>
  <c r="M56" i="1"/>
  <c r="N56" i="1"/>
  <c r="O56" i="1"/>
  <c r="P56" i="1"/>
  <c r="D56" i="1"/>
  <c r="O44" i="1"/>
  <c r="M44" i="1"/>
  <c r="K44" i="1"/>
  <c r="I44" i="1"/>
  <c r="G44" i="1"/>
  <c r="D44" i="1"/>
  <c r="D47" i="1"/>
  <c r="E47" i="1"/>
  <c r="G47" i="1"/>
  <c r="H47" i="1"/>
  <c r="I47" i="1"/>
  <c r="J47" i="1"/>
  <c r="L47" i="1"/>
  <c r="M47" i="1"/>
  <c r="N47" i="1"/>
  <c r="O47" i="1"/>
  <c r="P47" i="1"/>
  <c r="D48" i="1"/>
  <c r="E48" i="1"/>
  <c r="G48" i="1"/>
  <c r="H48" i="1"/>
  <c r="I48" i="1"/>
  <c r="J48" i="1"/>
  <c r="L48" i="1"/>
  <c r="M48" i="1"/>
  <c r="N48" i="1"/>
  <c r="O48" i="1"/>
  <c r="P48" i="1"/>
  <c r="D49" i="1"/>
  <c r="E49" i="1"/>
  <c r="G49" i="1"/>
  <c r="H49" i="1"/>
  <c r="I49" i="1"/>
  <c r="J49" i="1"/>
  <c r="L49" i="1"/>
  <c r="M49" i="1"/>
  <c r="N49" i="1"/>
  <c r="O49" i="1"/>
  <c r="P49" i="1"/>
  <c r="E46" i="1"/>
  <c r="F46" i="1"/>
  <c r="G46" i="1"/>
  <c r="H46" i="1"/>
  <c r="I46" i="1"/>
  <c r="J46" i="1"/>
  <c r="K46" i="1"/>
  <c r="L46" i="1"/>
  <c r="M46" i="1"/>
  <c r="N46" i="1"/>
  <c r="O46" i="1"/>
  <c r="P46" i="1"/>
  <c r="D46" i="1"/>
  <c r="O34" i="1"/>
  <c r="M34" i="1"/>
  <c r="K34" i="1"/>
  <c r="I34" i="1"/>
  <c r="D34" i="1"/>
  <c r="P38" i="1"/>
  <c r="P39" i="1"/>
  <c r="D37" i="1"/>
  <c r="E37" i="1"/>
  <c r="G37" i="1"/>
  <c r="H37" i="1"/>
  <c r="I37" i="1"/>
  <c r="J37" i="1"/>
  <c r="L37" i="1"/>
  <c r="M37" i="1"/>
  <c r="N37" i="1"/>
  <c r="O37" i="1"/>
  <c r="P37" i="1"/>
  <c r="D38" i="1"/>
  <c r="E38" i="1"/>
  <c r="G38" i="1"/>
  <c r="H38" i="1"/>
  <c r="I38" i="1"/>
  <c r="J38" i="1"/>
  <c r="L38" i="1"/>
  <c r="M38" i="1"/>
  <c r="N38" i="1"/>
  <c r="O38" i="1"/>
  <c r="D39" i="1"/>
  <c r="E39" i="1"/>
  <c r="G39" i="1"/>
  <c r="H39" i="1"/>
  <c r="I39" i="1"/>
  <c r="J39" i="1"/>
  <c r="L39" i="1"/>
  <c r="M39" i="1"/>
  <c r="N39" i="1"/>
  <c r="O39" i="1"/>
  <c r="E36" i="1"/>
  <c r="F36" i="1"/>
  <c r="G36" i="1"/>
  <c r="H36" i="1"/>
  <c r="I36" i="1"/>
  <c r="J36" i="1"/>
  <c r="K36" i="1"/>
  <c r="L36" i="1"/>
  <c r="M36" i="1"/>
  <c r="N36" i="1"/>
  <c r="O36" i="1"/>
  <c r="P36" i="1"/>
  <c r="D36" i="1"/>
  <c r="D24" i="1"/>
  <c r="AF2" i="28"/>
  <c r="Z8" i="28"/>
  <c r="Z7" i="28"/>
  <c r="AD23" i="28" s="1"/>
  <c r="Z6" i="28"/>
  <c r="Z5" i="28"/>
  <c r="Z4" i="28"/>
  <c r="Z3" i="28"/>
  <c r="O24" i="1"/>
  <c r="M24" i="1"/>
  <c r="K24" i="1"/>
  <c r="I24" i="1"/>
  <c r="G24" i="1"/>
  <c r="AE19" i="28"/>
  <c r="X7" i="28"/>
  <c r="V7" i="28"/>
  <c r="X6" i="28"/>
  <c r="U8" i="28"/>
  <c r="U7" i="28"/>
  <c r="U6" i="28"/>
  <c r="T8" i="28"/>
  <c r="T7" i="28"/>
  <c r="T6" i="28"/>
  <c r="T5" i="28"/>
  <c r="S7" i="28"/>
  <c r="S8" i="28"/>
  <c r="S6" i="28"/>
  <c r="S5" i="28"/>
  <c r="S4" i="28"/>
  <c r="M8" i="28"/>
  <c r="L8" i="28"/>
  <c r="K8" i="28"/>
  <c r="P7" i="28"/>
  <c r="P10" i="28" s="1"/>
  <c r="P17" i="28" s="1"/>
  <c r="N7" i="28"/>
  <c r="M7" i="28"/>
  <c r="L7" i="28"/>
  <c r="L10" i="28" s="1"/>
  <c r="L17" i="28" s="1"/>
  <c r="K7" i="28"/>
  <c r="P6" i="28"/>
  <c r="M6" i="28"/>
  <c r="L6" i="28"/>
  <c r="K6" i="28"/>
  <c r="L5" i="28"/>
  <c r="K5" i="28"/>
  <c r="K4" i="28"/>
  <c r="G8" i="28"/>
  <c r="E8" i="28"/>
  <c r="F7" i="28"/>
  <c r="E7" i="28"/>
  <c r="E6" i="28"/>
  <c r="D8" i="28"/>
  <c r="D7" i="28"/>
  <c r="D6" i="28"/>
  <c r="D10" i="28" s="1"/>
  <c r="D17" i="28" s="1"/>
  <c r="E4" i="28"/>
  <c r="C8" i="28"/>
  <c r="X2" i="28"/>
  <c r="P2" i="28"/>
  <c r="H2" i="28"/>
  <c r="C7" i="28"/>
  <c r="C6" i="28"/>
  <c r="E3" i="28"/>
  <c r="R4" i="28"/>
  <c r="R5" i="28"/>
  <c r="V21" i="28" s="1"/>
  <c r="R6" i="28"/>
  <c r="V2" i="28" s="1"/>
  <c r="R7" i="28"/>
  <c r="V23" i="28" s="1"/>
  <c r="R8" i="28"/>
  <c r="R3" i="28"/>
  <c r="J4" i="28"/>
  <c r="J5" i="28"/>
  <c r="J6" i="28"/>
  <c r="J7" i="28"/>
  <c r="J8" i="28"/>
  <c r="N24" i="28" s="1"/>
  <c r="J3" i="28"/>
  <c r="AD24" i="28"/>
  <c r="V24" i="28"/>
  <c r="F24" i="28"/>
  <c r="N23" i="28"/>
  <c r="F23" i="28"/>
  <c r="AD22" i="28"/>
  <c r="V22" i="28"/>
  <c r="N22" i="28"/>
  <c r="F22" i="28"/>
  <c r="AD21" i="28"/>
  <c r="N21" i="28"/>
  <c r="F21" i="28"/>
  <c r="AD20" i="28"/>
  <c r="V20" i="28"/>
  <c r="N20" i="28"/>
  <c r="F20" i="28"/>
  <c r="AD19" i="28"/>
  <c r="V19" i="28"/>
  <c r="N19" i="28"/>
  <c r="F19" i="28"/>
  <c r="X10" i="28"/>
  <c r="X17" i="28" s="1"/>
  <c r="W10" i="28"/>
  <c r="W14" i="28" s="1"/>
  <c r="V10" i="28"/>
  <c r="V17" i="28" s="1"/>
  <c r="U10" i="28"/>
  <c r="U17" i="28" s="1"/>
  <c r="T10" i="28"/>
  <c r="T17" i="28" s="1"/>
  <c r="S10" i="28"/>
  <c r="S17" i="28" s="1"/>
  <c r="O10" i="28"/>
  <c r="O17" i="28" s="1"/>
  <c r="N10" i="28"/>
  <c r="N17" i="28" s="1"/>
  <c r="M10" i="28"/>
  <c r="M13" i="28" s="1"/>
  <c r="K10" i="28"/>
  <c r="K17" i="28" s="1"/>
  <c r="H10" i="28"/>
  <c r="H17" i="28" s="1"/>
  <c r="G10" i="28"/>
  <c r="G17" i="28" s="1"/>
  <c r="F10" i="28"/>
  <c r="F17" i="28" s="1"/>
  <c r="E10" i="28"/>
  <c r="E17" i="28" s="1"/>
  <c r="C10" i="28"/>
  <c r="C17" i="28" s="1"/>
  <c r="AF8" i="28"/>
  <c r="AE8" i="28"/>
  <c r="AD8" i="28"/>
  <c r="AC8" i="28"/>
  <c r="AB8" i="28"/>
  <c r="AA8" i="28"/>
  <c r="AF7" i="28"/>
  <c r="AE7" i="28"/>
  <c r="AD7" i="28"/>
  <c r="AC7" i="28"/>
  <c r="AA7" i="28"/>
  <c r="AF6" i="28"/>
  <c r="AE6" i="28"/>
  <c r="AD6" i="28"/>
  <c r="AC6" i="28"/>
  <c r="AB6" i="28"/>
  <c r="AA6" i="28"/>
  <c r="AF5" i="28"/>
  <c r="AE5" i="28"/>
  <c r="AD5" i="28"/>
  <c r="AC5" i="28"/>
  <c r="AB5" i="28"/>
  <c r="AA5" i="28"/>
  <c r="AF4" i="28"/>
  <c r="AE4" i="28"/>
  <c r="AD4" i="28"/>
  <c r="AC4" i="28"/>
  <c r="AB4" i="28"/>
  <c r="AA4" i="28"/>
  <c r="AF3" i="28"/>
  <c r="AE3" i="28"/>
  <c r="AD3" i="28"/>
  <c r="AC3" i="28"/>
  <c r="AB3" i="28"/>
  <c r="AA3" i="28"/>
  <c r="AE2" i="28"/>
  <c r="AD2" i="28"/>
  <c r="AC2" i="28"/>
  <c r="AB2" i="28"/>
  <c r="AA2" i="28"/>
  <c r="W2" i="28"/>
  <c r="U2" i="28"/>
  <c r="T2" i="28"/>
  <c r="S2" i="28"/>
  <c r="O2" i="28"/>
  <c r="N2" i="28"/>
  <c r="M2" i="28"/>
  <c r="L2" i="28"/>
  <c r="K2" i="28"/>
  <c r="G2" i="28"/>
  <c r="F2" i="28"/>
  <c r="E2" i="28"/>
  <c r="D2" i="28"/>
  <c r="C2" i="28"/>
  <c r="AD24" i="27"/>
  <c r="V24" i="27"/>
  <c r="N24" i="27"/>
  <c r="F24" i="27"/>
  <c r="AD23" i="27"/>
  <c r="V23" i="27"/>
  <c r="N23" i="27"/>
  <c r="F23" i="27"/>
  <c r="AD22" i="27"/>
  <c r="V22" i="27"/>
  <c r="N22" i="27"/>
  <c r="F22" i="27"/>
  <c r="AD21" i="27"/>
  <c r="V21" i="27"/>
  <c r="N21" i="27"/>
  <c r="F21" i="27"/>
  <c r="AD20" i="27"/>
  <c r="V20" i="27"/>
  <c r="N20" i="27"/>
  <c r="F20" i="27"/>
  <c r="AD19" i="27"/>
  <c r="V19" i="27"/>
  <c r="N19" i="27"/>
  <c r="F19" i="27"/>
  <c r="X10" i="27"/>
  <c r="X17" i="27" s="1"/>
  <c r="W10" i="27"/>
  <c r="W17" i="27" s="1"/>
  <c r="V10" i="27"/>
  <c r="V17" i="27" s="1"/>
  <c r="U10" i="27"/>
  <c r="U17" i="27" s="1"/>
  <c r="T10" i="27"/>
  <c r="T17" i="27" s="1"/>
  <c r="S10" i="27"/>
  <c r="S16" i="27" s="1"/>
  <c r="P10" i="27"/>
  <c r="P17" i="27" s="1"/>
  <c r="O10" i="27"/>
  <c r="O17" i="27" s="1"/>
  <c r="N10" i="27"/>
  <c r="N17" i="27" s="1"/>
  <c r="M10" i="27"/>
  <c r="M17" i="27" s="1"/>
  <c r="L10" i="27"/>
  <c r="L17" i="27" s="1"/>
  <c r="K10" i="27"/>
  <c r="K17" i="27" s="1"/>
  <c r="H10" i="27"/>
  <c r="H17" i="27" s="1"/>
  <c r="G10" i="27"/>
  <c r="G13" i="27" s="1"/>
  <c r="F10" i="27"/>
  <c r="F17" i="27" s="1"/>
  <c r="E10" i="27"/>
  <c r="E17" i="27" s="1"/>
  <c r="D10" i="27"/>
  <c r="D17" i="27" s="1"/>
  <c r="C10" i="27"/>
  <c r="C17" i="27" s="1"/>
  <c r="AF8" i="27"/>
  <c r="AE8" i="27"/>
  <c r="AD8" i="27"/>
  <c r="AC8" i="27"/>
  <c r="AC17" i="27" s="1"/>
  <c r="AB8" i="27"/>
  <c r="AA8" i="27"/>
  <c r="AF7" i="27"/>
  <c r="AE7" i="27"/>
  <c r="AD7" i="27"/>
  <c r="AC7" i="27"/>
  <c r="AB7" i="27"/>
  <c r="AA7" i="27"/>
  <c r="AF6" i="27"/>
  <c r="AE6" i="27"/>
  <c r="AD6" i="27"/>
  <c r="AC6" i="27"/>
  <c r="AB6" i="27"/>
  <c r="AA6" i="27"/>
  <c r="AF5" i="27"/>
  <c r="AE5" i="27"/>
  <c r="AD5" i="27"/>
  <c r="AC5" i="27"/>
  <c r="AB5" i="27"/>
  <c r="AA5" i="27"/>
  <c r="AF4" i="27"/>
  <c r="AE4" i="27"/>
  <c r="AD4" i="27"/>
  <c r="AC4" i="27"/>
  <c r="AC13" i="27" s="1"/>
  <c r="AB4" i="27"/>
  <c r="AA4" i="27"/>
  <c r="AF3" i="27"/>
  <c r="AE3" i="27"/>
  <c r="AD3" i="27"/>
  <c r="AC3" i="27"/>
  <c r="AC10" i="27" s="1"/>
  <c r="AB3" i="27"/>
  <c r="AA3" i="27"/>
  <c r="AE2" i="27"/>
  <c r="AD2" i="27"/>
  <c r="AC2" i="27"/>
  <c r="AB2" i="27"/>
  <c r="AA2" i="27"/>
  <c r="W2" i="27"/>
  <c r="V2" i="27"/>
  <c r="U2" i="27"/>
  <c r="T2" i="27"/>
  <c r="S2" i="27"/>
  <c r="O2" i="27"/>
  <c r="N2" i="27"/>
  <c r="M2" i="27"/>
  <c r="L2" i="27"/>
  <c r="K2" i="27"/>
  <c r="G2" i="27"/>
  <c r="F2" i="27"/>
  <c r="E2" i="27"/>
  <c r="D2" i="27"/>
  <c r="C2" i="27"/>
  <c r="P29" i="1"/>
  <c r="P28" i="1"/>
  <c r="P27" i="1"/>
  <c r="J29" i="1"/>
  <c r="J28" i="1"/>
  <c r="J27" i="1"/>
  <c r="I29" i="1"/>
  <c r="I28" i="1"/>
  <c r="I27" i="1"/>
  <c r="D17" i="26"/>
  <c r="D16" i="26"/>
  <c r="D15" i="26"/>
  <c r="O13" i="26"/>
  <c r="H13" i="26"/>
  <c r="J17" i="26" s="1"/>
  <c r="E13" i="26"/>
  <c r="D13" i="26"/>
  <c r="C13" i="26"/>
  <c r="E17" i="26" s="1"/>
  <c r="O11" i="26"/>
  <c r="H11" i="26"/>
  <c r="E11" i="26"/>
  <c r="D11" i="26"/>
  <c r="C11" i="26"/>
  <c r="E15" i="26" s="1"/>
  <c r="O8" i="26"/>
  <c r="O12" i="26" s="1"/>
  <c r="N8" i="26"/>
  <c r="N13" i="26" s="1"/>
  <c r="M8" i="26"/>
  <c r="M13" i="26" s="1"/>
  <c r="O17" i="26" s="1"/>
  <c r="J8" i="26"/>
  <c r="J13" i="26" s="1"/>
  <c r="I8" i="26"/>
  <c r="I13" i="26" s="1"/>
  <c r="H8" i="26"/>
  <c r="H12" i="26" s="1"/>
  <c r="E8" i="26"/>
  <c r="E12" i="26" s="1"/>
  <c r="D8" i="26"/>
  <c r="D12" i="26" s="1"/>
  <c r="C8" i="26"/>
  <c r="C12" i="26" s="1"/>
  <c r="E16" i="26" s="1"/>
  <c r="T6" i="26"/>
  <c r="S6" i="26"/>
  <c r="R6" i="26"/>
  <c r="G6" i="26"/>
  <c r="L6" i="26" s="1"/>
  <c r="T5" i="26"/>
  <c r="S5" i="26"/>
  <c r="R5" i="26"/>
  <c r="G5" i="26"/>
  <c r="I16" i="26" s="1"/>
  <c r="T4" i="26"/>
  <c r="S4" i="26"/>
  <c r="R4" i="26"/>
  <c r="G4" i="26"/>
  <c r="I15" i="26" s="1"/>
  <c r="J3" i="26"/>
  <c r="H3" i="26"/>
  <c r="E3" i="26"/>
  <c r="D3" i="26"/>
  <c r="C3" i="26"/>
  <c r="D17" i="25"/>
  <c r="D16" i="25"/>
  <c r="D15" i="25"/>
  <c r="O13" i="25"/>
  <c r="H13" i="25"/>
  <c r="E13" i="25"/>
  <c r="D13" i="25"/>
  <c r="C13" i="25"/>
  <c r="E17" i="25" s="1"/>
  <c r="O11" i="25"/>
  <c r="H11" i="25"/>
  <c r="E11" i="25"/>
  <c r="D11" i="25"/>
  <c r="C11" i="25"/>
  <c r="E15" i="25" s="1"/>
  <c r="O8" i="25"/>
  <c r="O12" i="25" s="1"/>
  <c r="N8" i="25"/>
  <c r="N13" i="25" s="1"/>
  <c r="M8" i="25"/>
  <c r="M13" i="25" s="1"/>
  <c r="J8" i="25"/>
  <c r="J13" i="25" s="1"/>
  <c r="I8" i="25"/>
  <c r="I12" i="25" s="1"/>
  <c r="H8" i="25"/>
  <c r="H12" i="25" s="1"/>
  <c r="E8" i="25"/>
  <c r="E12" i="25" s="1"/>
  <c r="D8" i="25"/>
  <c r="D12" i="25" s="1"/>
  <c r="C8" i="25"/>
  <c r="C12" i="25" s="1"/>
  <c r="E16" i="25" s="1"/>
  <c r="T6" i="25"/>
  <c r="S6" i="25"/>
  <c r="R6" i="25"/>
  <c r="G6" i="25"/>
  <c r="L6" i="25" s="1"/>
  <c r="T5" i="25"/>
  <c r="S5" i="25"/>
  <c r="R5" i="25"/>
  <c r="G5" i="25"/>
  <c r="I16" i="25" s="1"/>
  <c r="T4" i="25"/>
  <c r="S4" i="25"/>
  <c r="R4" i="25"/>
  <c r="G4" i="25"/>
  <c r="I15" i="25" s="1"/>
  <c r="J3" i="25"/>
  <c r="H3" i="25"/>
  <c r="E3" i="25"/>
  <c r="D3" i="25"/>
  <c r="C3" i="25"/>
  <c r="D17" i="24"/>
  <c r="D16" i="24"/>
  <c r="D15" i="24"/>
  <c r="O13" i="24"/>
  <c r="H13" i="24"/>
  <c r="E13" i="24"/>
  <c r="D13" i="24"/>
  <c r="C13" i="24"/>
  <c r="E17" i="24" s="1"/>
  <c r="O11" i="24"/>
  <c r="H11" i="24"/>
  <c r="E11" i="24"/>
  <c r="D11" i="24"/>
  <c r="C11" i="24"/>
  <c r="E15" i="24" s="1"/>
  <c r="O8" i="24"/>
  <c r="O12" i="24" s="1"/>
  <c r="N8" i="24"/>
  <c r="N13" i="24" s="1"/>
  <c r="M8" i="24"/>
  <c r="M13" i="24" s="1"/>
  <c r="O17" i="24" s="1"/>
  <c r="J8" i="24"/>
  <c r="J12" i="24" s="1"/>
  <c r="I8" i="24"/>
  <c r="I11" i="24" s="1"/>
  <c r="H8" i="24"/>
  <c r="H12" i="24" s="1"/>
  <c r="E8" i="24"/>
  <c r="E12" i="24" s="1"/>
  <c r="D8" i="24"/>
  <c r="D12" i="24" s="1"/>
  <c r="C8" i="24"/>
  <c r="C12" i="24" s="1"/>
  <c r="E16" i="24" s="1"/>
  <c r="T6" i="24"/>
  <c r="S6" i="24"/>
  <c r="R6" i="24"/>
  <c r="G6" i="24"/>
  <c r="L6" i="24" s="1"/>
  <c r="T5" i="24"/>
  <c r="S5" i="24"/>
  <c r="R5" i="24"/>
  <c r="R12" i="24" s="1"/>
  <c r="G5" i="24"/>
  <c r="I16" i="24" s="1"/>
  <c r="T4" i="24"/>
  <c r="S4" i="24"/>
  <c r="R4" i="24"/>
  <c r="R8" i="24" s="1"/>
  <c r="R11" i="24" s="1"/>
  <c r="G4" i="24"/>
  <c r="I15" i="24" s="1"/>
  <c r="J3" i="24"/>
  <c r="H3" i="24"/>
  <c r="E3" i="24"/>
  <c r="D3" i="24"/>
  <c r="C3" i="24"/>
  <c r="AC15" i="31" l="1"/>
  <c r="AC16" i="31"/>
  <c r="AC14" i="31"/>
  <c r="AC13" i="31"/>
  <c r="AC12" i="31"/>
  <c r="AD17" i="31"/>
  <c r="AD15" i="31"/>
  <c r="AD12" i="31"/>
  <c r="AD16" i="31"/>
  <c r="AD14" i="31"/>
  <c r="AD13" i="31"/>
  <c r="AB12" i="31"/>
  <c r="AB13" i="31"/>
  <c r="AB14" i="31"/>
  <c r="AB16" i="31"/>
  <c r="AB17" i="31"/>
  <c r="AB15" i="31"/>
  <c r="D22" i="38"/>
  <c r="D27" i="38"/>
  <c r="D21" i="38"/>
  <c r="D23" i="38"/>
  <c r="C22" i="39"/>
  <c r="C27" i="39"/>
  <c r="C21" i="39"/>
  <c r="C23" i="39"/>
  <c r="T27" i="31"/>
  <c r="U35" i="31"/>
  <c r="T30" i="31"/>
  <c r="T26" i="31"/>
  <c r="T29" i="31"/>
  <c r="T28" i="31"/>
  <c r="T31" i="31"/>
  <c r="E37" i="31"/>
  <c r="F28" i="31"/>
  <c r="F30" i="31"/>
  <c r="F26" i="31"/>
  <c r="F29" i="31"/>
  <c r="F27" i="31"/>
  <c r="F31" i="31"/>
  <c r="U28" i="31"/>
  <c r="U31" i="31"/>
  <c r="U26" i="31"/>
  <c r="U36" i="31"/>
  <c r="U27" i="31"/>
  <c r="U29" i="31"/>
  <c r="U30" i="31"/>
  <c r="C21" i="38"/>
  <c r="C25" i="38" s="1"/>
  <c r="C27" i="38"/>
  <c r="C22" i="38"/>
  <c r="D25" i="38" s="1"/>
  <c r="C23" i="38"/>
  <c r="S31" i="31"/>
  <c r="S28" i="31"/>
  <c r="S27" i="31"/>
  <c r="S26" i="31"/>
  <c r="U34" i="31"/>
  <c r="S30" i="31"/>
  <c r="S29" i="31"/>
  <c r="V31" i="31"/>
  <c r="V26" i="31"/>
  <c r="U37" i="31"/>
  <c r="V29" i="31"/>
  <c r="V28" i="31"/>
  <c r="V27" i="31"/>
  <c r="V30" i="31"/>
  <c r="J27" i="39"/>
  <c r="J23" i="39"/>
  <c r="J21" i="39"/>
  <c r="J22" i="39"/>
  <c r="O23" i="38"/>
  <c r="O22" i="38"/>
  <c r="O27" i="38"/>
  <c r="O21" i="38"/>
  <c r="N27" i="40"/>
  <c r="N21" i="40"/>
  <c r="N22" i="40"/>
  <c r="N23" i="40"/>
  <c r="I22" i="42"/>
  <c r="I21" i="42"/>
  <c r="I27" i="42"/>
  <c r="I23" i="42"/>
  <c r="S27" i="32"/>
  <c r="S22" i="32"/>
  <c r="X12" i="30"/>
  <c r="S21" i="32"/>
  <c r="S23" i="32"/>
  <c r="X29" i="31"/>
  <c r="X27" i="31"/>
  <c r="U39" i="31"/>
  <c r="X28" i="31"/>
  <c r="X31" i="31"/>
  <c r="X26" i="31"/>
  <c r="X30" i="31"/>
  <c r="M22" i="44"/>
  <c r="M21" i="44"/>
  <c r="M27" i="44"/>
  <c r="M23" i="44"/>
  <c r="N27" i="31"/>
  <c r="M37" i="31"/>
  <c r="N31" i="31"/>
  <c r="N26" i="31"/>
  <c r="N29" i="31"/>
  <c r="N28" i="31"/>
  <c r="N30" i="31"/>
  <c r="M34" i="31"/>
  <c r="K31" i="31"/>
  <c r="K26" i="31"/>
  <c r="K29" i="31"/>
  <c r="K28" i="31"/>
  <c r="K27" i="31"/>
  <c r="K30" i="31"/>
  <c r="N27" i="42"/>
  <c r="N21" i="42"/>
  <c r="N22" i="42"/>
  <c r="N23" i="42"/>
  <c r="H27" i="50"/>
  <c r="H23" i="50"/>
  <c r="H21" i="50"/>
  <c r="H22" i="50"/>
  <c r="M39" i="31"/>
  <c r="P30" i="31"/>
  <c r="P28" i="31"/>
  <c r="P29" i="31"/>
  <c r="P27" i="31"/>
  <c r="P26" i="31"/>
  <c r="P31" i="31"/>
  <c r="S11" i="41"/>
  <c r="S12" i="41"/>
  <c r="C27" i="50"/>
  <c r="C23" i="50"/>
  <c r="C21" i="50"/>
  <c r="C22" i="50"/>
  <c r="U38" i="31"/>
  <c r="W26" i="31"/>
  <c r="W29" i="31"/>
  <c r="W28" i="31"/>
  <c r="W31" i="31"/>
  <c r="W27" i="31"/>
  <c r="W30" i="31"/>
  <c r="O9" i="45"/>
  <c r="P12" i="45" s="1"/>
  <c r="M10" i="30" s="1"/>
  <c r="I25" i="37"/>
  <c r="I29" i="37" s="1"/>
  <c r="M21" i="36"/>
  <c r="M27" i="36"/>
  <c r="M22" i="36"/>
  <c r="M23" i="36"/>
  <c r="S16" i="42"/>
  <c r="S3" i="42"/>
  <c r="S16" i="34"/>
  <c r="S3" i="34"/>
  <c r="I25" i="32"/>
  <c r="I29" i="32" s="1"/>
  <c r="G24" i="31"/>
  <c r="V12" i="30"/>
  <c r="S27" i="34"/>
  <c r="S23" i="34"/>
  <c r="S21" i="34"/>
  <c r="S22" i="34"/>
  <c r="E25" i="36"/>
  <c r="E29" i="36" s="1"/>
  <c r="S13" i="41"/>
  <c r="T17" i="41" s="1"/>
  <c r="N21" i="43"/>
  <c r="N22" i="43"/>
  <c r="N27" i="43"/>
  <c r="N23" i="43"/>
  <c r="J15" i="40"/>
  <c r="O25" i="39"/>
  <c r="O29" i="39" s="1"/>
  <c r="S12" i="39"/>
  <c r="T16" i="39" s="1"/>
  <c r="S13" i="39"/>
  <c r="T17" i="39" s="1"/>
  <c r="T27" i="38"/>
  <c r="R13" i="30"/>
  <c r="T23" i="38"/>
  <c r="J31" i="37"/>
  <c r="J32" i="37" s="1"/>
  <c r="J33" i="37" s="1"/>
  <c r="H27" i="38"/>
  <c r="H22" i="38"/>
  <c r="H21" i="38"/>
  <c r="H25" i="38" s="1"/>
  <c r="H29" i="38" s="1"/>
  <c r="H23" i="38"/>
  <c r="T27" i="36"/>
  <c r="T22" i="36"/>
  <c r="T13" i="30"/>
  <c r="T23" i="36"/>
  <c r="T21" i="36"/>
  <c r="O22" i="40"/>
  <c r="O21" i="40"/>
  <c r="O27" i="40"/>
  <c r="O23" i="40"/>
  <c r="R3" i="37"/>
  <c r="S15" i="37"/>
  <c r="I27" i="44"/>
  <c r="I21" i="44"/>
  <c r="I22" i="44"/>
  <c r="I23" i="44"/>
  <c r="J27" i="44"/>
  <c r="J23" i="44"/>
  <c r="J21" i="44"/>
  <c r="J22" i="44"/>
  <c r="H23" i="41"/>
  <c r="H22" i="41"/>
  <c r="H27" i="41"/>
  <c r="H21" i="41"/>
  <c r="J27" i="38"/>
  <c r="J23" i="38"/>
  <c r="J22" i="38"/>
  <c r="J21" i="38"/>
  <c r="T27" i="37"/>
  <c r="S13" i="30"/>
  <c r="T23" i="37"/>
  <c r="T21" i="37"/>
  <c r="T22" i="37"/>
  <c r="S11" i="42"/>
  <c r="S12" i="42"/>
  <c r="O21" i="31"/>
  <c r="O15" i="38"/>
  <c r="M22" i="50"/>
  <c r="M27" i="50"/>
  <c r="M23" i="50"/>
  <c r="M21" i="50"/>
  <c r="S11" i="50"/>
  <c r="T15" i="50" s="1"/>
  <c r="I22" i="41"/>
  <c r="I27" i="41"/>
  <c r="I21" i="41"/>
  <c r="I23" i="41"/>
  <c r="T17" i="44"/>
  <c r="S11" i="39"/>
  <c r="I27" i="39"/>
  <c r="I23" i="39"/>
  <c r="I22" i="39"/>
  <c r="I21" i="39"/>
  <c r="I27" i="38"/>
  <c r="I22" i="38"/>
  <c r="I21" i="38"/>
  <c r="I23" i="38"/>
  <c r="R12" i="44"/>
  <c r="S15" i="32"/>
  <c r="R3" i="32"/>
  <c r="W13" i="30"/>
  <c r="T27" i="33"/>
  <c r="T23" i="33"/>
  <c r="T22" i="33"/>
  <c r="T21" i="33"/>
  <c r="M29" i="34"/>
  <c r="O31" i="34" s="1"/>
  <c r="O32" i="34" s="1"/>
  <c r="O33" i="34" s="1"/>
  <c r="H25" i="32"/>
  <c r="H29" i="32" s="1"/>
  <c r="G19" i="31"/>
  <c r="I25" i="35"/>
  <c r="I29" i="35" s="1"/>
  <c r="T22" i="38"/>
  <c r="C21" i="41"/>
  <c r="C27" i="41"/>
  <c r="C23" i="41"/>
  <c r="C22" i="41"/>
  <c r="S13" i="42"/>
  <c r="T17" i="42" s="1"/>
  <c r="J16" i="40"/>
  <c r="R13" i="40"/>
  <c r="T17" i="40" s="1"/>
  <c r="M25" i="39"/>
  <c r="M29" i="39" s="1"/>
  <c r="D25" i="34"/>
  <c r="D29" i="34" s="1"/>
  <c r="E31" i="34" s="1"/>
  <c r="E32" i="34" s="1"/>
  <c r="E33" i="34" s="1"/>
  <c r="L26" i="31"/>
  <c r="L29" i="31"/>
  <c r="M35" i="31"/>
  <c r="L28" i="31"/>
  <c r="L31" i="31"/>
  <c r="L27" i="31"/>
  <c r="L30" i="31"/>
  <c r="R27" i="36"/>
  <c r="T11" i="30"/>
  <c r="R23" i="36"/>
  <c r="T25" i="36" s="1"/>
  <c r="T29" i="36" s="1"/>
  <c r="R22" i="36"/>
  <c r="S25" i="36" s="1"/>
  <c r="S29" i="36" s="1"/>
  <c r="R21" i="36"/>
  <c r="R25" i="36" s="1"/>
  <c r="J22" i="41"/>
  <c r="J23" i="41"/>
  <c r="J27" i="41"/>
  <c r="J21" i="41"/>
  <c r="O12" i="46"/>
  <c r="P2" i="46"/>
  <c r="T27" i="34"/>
  <c r="V13" i="30"/>
  <c r="T23" i="34"/>
  <c r="T21" i="34"/>
  <c r="T22" i="34"/>
  <c r="E36" i="31"/>
  <c r="E28" i="31"/>
  <c r="E29" i="31"/>
  <c r="E26" i="31"/>
  <c r="E31" i="31"/>
  <c r="E27" i="31"/>
  <c r="E30" i="31"/>
  <c r="G20" i="31"/>
  <c r="D27" i="41"/>
  <c r="D22" i="41"/>
  <c r="D23" i="41"/>
  <c r="D21" i="41"/>
  <c r="J22" i="50"/>
  <c r="J27" i="50"/>
  <c r="J23" i="50"/>
  <c r="J21" i="50"/>
  <c r="D27" i="50"/>
  <c r="D22" i="50"/>
  <c r="D21" i="50"/>
  <c r="D23" i="50"/>
  <c r="E25" i="35"/>
  <c r="E29" i="35" s="1"/>
  <c r="E29" i="34"/>
  <c r="N22" i="38"/>
  <c r="N27" i="38"/>
  <c r="N21" i="38"/>
  <c r="N23" i="38"/>
  <c r="N21" i="36"/>
  <c r="N23" i="36"/>
  <c r="N22" i="36"/>
  <c r="N27" i="36"/>
  <c r="R27" i="37"/>
  <c r="R22" i="37"/>
  <c r="S11" i="30"/>
  <c r="R21" i="37"/>
  <c r="R23" i="37"/>
  <c r="T25" i="37" s="1"/>
  <c r="T29" i="37" s="1"/>
  <c r="T16" i="41"/>
  <c r="D22" i="43"/>
  <c r="D27" i="43"/>
  <c r="D23" i="43"/>
  <c r="D21" i="43"/>
  <c r="J25" i="32"/>
  <c r="J29" i="32" s="1"/>
  <c r="S11" i="38"/>
  <c r="S12" i="38"/>
  <c r="T16" i="38" s="1"/>
  <c r="H25" i="35"/>
  <c r="H29" i="35" s="1"/>
  <c r="T15" i="41"/>
  <c r="S16" i="35"/>
  <c r="S3" i="35"/>
  <c r="H21" i="43"/>
  <c r="H27" i="43"/>
  <c r="H22" i="43"/>
  <c r="I25" i="43" s="1"/>
  <c r="I29" i="43" s="1"/>
  <c r="H23" i="43"/>
  <c r="R11" i="43"/>
  <c r="R12" i="43"/>
  <c r="D25" i="35"/>
  <c r="D29" i="35" s="1"/>
  <c r="H23" i="39"/>
  <c r="J25" i="39" s="1"/>
  <c r="J29" i="39" s="1"/>
  <c r="H21" i="39"/>
  <c r="H25" i="39" s="1"/>
  <c r="H22" i="39"/>
  <c r="I25" i="39" s="1"/>
  <c r="I29" i="39" s="1"/>
  <c r="H27" i="39"/>
  <c r="X13" i="30"/>
  <c r="T23" i="32"/>
  <c r="T27" i="32"/>
  <c r="T21" i="32"/>
  <c r="T22" i="32"/>
  <c r="J23" i="34"/>
  <c r="J22" i="34"/>
  <c r="J21" i="34"/>
  <c r="J27" i="34"/>
  <c r="N27" i="32"/>
  <c r="N22" i="32"/>
  <c r="N25" i="32" s="1"/>
  <c r="N29" i="32" s="1"/>
  <c r="N21" i="32"/>
  <c r="N23" i="32"/>
  <c r="O25" i="32" s="1"/>
  <c r="O29" i="32" s="1"/>
  <c r="J25" i="35"/>
  <c r="J29" i="35" s="1"/>
  <c r="J27" i="40"/>
  <c r="J23" i="40"/>
  <c r="J21" i="40"/>
  <c r="J22" i="40"/>
  <c r="P12" i="46"/>
  <c r="O10" i="30" s="1"/>
  <c r="R21" i="35"/>
  <c r="R27" i="35"/>
  <c r="U11" i="30"/>
  <c r="R22" i="35"/>
  <c r="R23" i="35"/>
  <c r="T21" i="38"/>
  <c r="I27" i="43"/>
  <c r="I23" i="43"/>
  <c r="I21" i="43"/>
  <c r="I22" i="43"/>
  <c r="O12" i="49"/>
  <c r="P2" i="49"/>
  <c r="E25" i="40"/>
  <c r="E29" i="40" s="1"/>
  <c r="E27" i="50"/>
  <c r="E23" i="50"/>
  <c r="E22" i="50"/>
  <c r="E21" i="50"/>
  <c r="O15" i="40"/>
  <c r="R11" i="42"/>
  <c r="T15" i="42" s="1"/>
  <c r="R12" i="42"/>
  <c r="T16" i="42" s="1"/>
  <c r="J15" i="44"/>
  <c r="H29" i="36"/>
  <c r="J31" i="36" s="1"/>
  <c r="J32" i="36" s="1"/>
  <c r="J33" i="36" s="1"/>
  <c r="H21" i="42"/>
  <c r="H25" i="42" s="1"/>
  <c r="H29" i="42" s="1"/>
  <c r="H23" i="42"/>
  <c r="J25" i="42" s="1"/>
  <c r="J29" i="42" s="1"/>
  <c r="H27" i="42"/>
  <c r="H22" i="42"/>
  <c r="I25" i="42" s="1"/>
  <c r="I29" i="42" s="1"/>
  <c r="D25" i="42"/>
  <c r="D29" i="42" s="1"/>
  <c r="X11" i="30"/>
  <c r="R22" i="32"/>
  <c r="S25" i="32" s="1"/>
  <c r="S29" i="32" s="1"/>
  <c r="R27" i="32"/>
  <c r="R21" i="32"/>
  <c r="R25" i="32" s="1"/>
  <c r="R29" i="32" s="1"/>
  <c r="R23" i="32"/>
  <c r="S17" i="44"/>
  <c r="T3" i="44"/>
  <c r="S13" i="50"/>
  <c r="C25" i="44"/>
  <c r="C29" i="44" s="1"/>
  <c r="C21" i="43"/>
  <c r="C25" i="43" s="1"/>
  <c r="C29" i="43" s="1"/>
  <c r="C27" i="43"/>
  <c r="C22" i="43"/>
  <c r="C23" i="43"/>
  <c r="R3" i="36"/>
  <c r="S15" i="36"/>
  <c r="E31" i="42"/>
  <c r="E32" i="42" s="1"/>
  <c r="E33" i="42" s="1"/>
  <c r="T12" i="50"/>
  <c r="T16" i="50" s="1"/>
  <c r="T13" i="50"/>
  <c r="O27" i="41"/>
  <c r="O22" i="41"/>
  <c r="O21" i="41"/>
  <c r="O23" i="41"/>
  <c r="S3" i="39"/>
  <c r="S16" i="39"/>
  <c r="S12" i="43"/>
  <c r="S11" i="43"/>
  <c r="D25" i="33"/>
  <c r="D29" i="33" s="1"/>
  <c r="G23" i="31"/>
  <c r="O31" i="35"/>
  <c r="O32" i="35" s="1"/>
  <c r="O33" i="35" s="1"/>
  <c r="S23" i="35"/>
  <c r="U12" i="30"/>
  <c r="S27" i="35"/>
  <c r="S22" i="35"/>
  <c r="S21" i="35"/>
  <c r="N22" i="44"/>
  <c r="N21" i="44"/>
  <c r="N27" i="44"/>
  <c r="N23" i="44"/>
  <c r="R13" i="43"/>
  <c r="T17" i="43" s="1"/>
  <c r="S17" i="50"/>
  <c r="T3" i="50"/>
  <c r="C25" i="40"/>
  <c r="C29" i="40" s="1"/>
  <c r="E31" i="40" s="1"/>
  <c r="E32" i="40" s="1"/>
  <c r="E33" i="40" s="1"/>
  <c r="C25" i="35"/>
  <c r="C29" i="35" s="1"/>
  <c r="E31" i="35" s="1"/>
  <c r="E32" i="35" s="1"/>
  <c r="E33" i="35" s="1"/>
  <c r="I23" i="34"/>
  <c r="J25" i="34" s="1"/>
  <c r="J29" i="34" s="1"/>
  <c r="I22" i="34"/>
  <c r="I25" i="34" s="1"/>
  <c r="I29" i="34" s="1"/>
  <c r="I21" i="34"/>
  <c r="H25" i="34" s="1"/>
  <c r="H29" i="34" s="1"/>
  <c r="I27" i="34"/>
  <c r="M38" i="31"/>
  <c r="O27" i="31"/>
  <c r="O30" i="31"/>
  <c r="O26" i="31"/>
  <c r="O29" i="31"/>
  <c r="O28" i="31"/>
  <c r="O31" i="31"/>
  <c r="S27" i="37"/>
  <c r="S12" i="30"/>
  <c r="S22" i="37"/>
  <c r="S21" i="37"/>
  <c r="S23" i="37"/>
  <c r="M27" i="42"/>
  <c r="M23" i="42"/>
  <c r="O25" i="42" s="1"/>
  <c r="O29" i="42" s="1"/>
  <c r="M21" i="42"/>
  <c r="M25" i="42" s="1"/>
  <c r="M29" i="42" s="1"/>
  <c r="O31" i="42" s="1"/>
  <c r="O32" i="42" s="1"/>
  <c r="O33" i="42" s="1"/>
  <c r="M22" i="42"/>
  <c r="N25" i="42" s="1"/>
  <c r="N29" i="42" s="1"/>
  <c r="M25" i="37"/>
  <c r="M29" i="37" s="1"/>
  <c r="S11" i="44"/>
  <c r="T15" i="44" s="1"/>
  <c r="S12" i="44"/>
  <c r="E29" i="44"/>
  <c r="E22" i="43"/>
  <c r="E21" i="43"/>
  <c r="E27" i="43"/>
  <c r="E23" i="43"/>
  <c r="O12" i="45"/>
  <c r="P2" i="45"/>
  <c r="O16" i="41"/>
  <c r="C29" i="33"/>
  <c r="M25" i="32"/>
  <c r="M29" i="32" s="1"/>
  <c r="T11" i="39"/>
  <c r="R27" i="33"/>
  <c r="R22" i="33"/>
  <c r="S25" i="33" s="1"/>
  <c r="S29" i="33" s="1"/>
  <c r="W11" i="30"/>
  <c r="R23" i="33"/>
  <c r="T25" i="33" s="1"/>
  <c r="T29" i="33" s="1"/>
  <c r="R21" i="33"/>
  <c r="R25" i="33" s="1"/>
  <c r="R29" i="33" s="1"/>
  <c r="T31" i="33" s="1"/>
  <c r="T32" i="33" s="1"/>
  <c r="T33" i="33" s="1"/>
  <c r="S16" i="50"/>
  <c r="S3" i="50"/>
  <c r="S12" i="40"/>
  <c r="S11" i="40"/>
  <c r="T15" i="40" s="1"/>
  <c r="T11" i="38"/>
  <c r="I22" i="50"/>
  <c r="I27" i="50"/>
  <c r="I23" i="50"/>
  <c r="I21" i="50"/>
  <c r="N25" i="39"/>
  <c r="N29" i="39" s="1"/>
  <c r="T16" i="40"/>
  <c r="N22" i="50"/>
  <c r="N27" i="50"/>
  <c r="N23" i="50"/>
  <c r="N21" i="50"/>
  <c r="H23" i="33"/>
  <c r="J25" i="33" s="1"/>
  <c r="J29" i="33" s="1"/>
  <c r="H22" i="33"/>
  <c r="I25" i="33" s="1"/>
  <c r="I29" i="33" s="1"/>
  <c r="H27" i="33"/>
  <c r="H21" i="33"/>
  <c r="H25" i="33" s="1"/>
  <c r="H29" i="33" s="1"/>
  <c r="J31" i="33" s="1"/>
  <c r="J32" i="33" s="1"/>
  <c r="J33" i="33" s="1"/>
  <c r="S15" i="38"/>
  <c r="R3" i="38"/>
  <c r="N22" i="37"/>
  <c r="N25" i="37" s="1"/>
  <c r="N29" i="37" s="1"/>
  <c r="N23" i="37"/>
  <c r="O25" i="37" s="1"/>
  <c r="O29" i="37" s="1"/>
  <c r="N21" i="37"/>
  <c r="N27" i="37"/>
  <c r="O15" i="41"/>
  <c r="E29" i="33"/>
  <c r="E23" i="39"/>
  <c r="E27" i="39"/>
  <c r="E21" i="39"/>
  <c r="E22" i="39"/>
  <c r="T15" i="34"/>
  <c r="C25" i="36"/>
  <c r="C29" i="36" s="1"/>
  <c r="E31" i="36" s="1"/>
  <c r="E32" i="36" s="1"/>
  <c r="E33" i="36" s="1"/>
  <c r="O27" i="50"/>
  <c r="O23" i="50"/>
  <c r="O21" i="50"/>
  <c r="O22" i="50"/>
  <c r="O15" i="43"/>
  <c r="T22" i="35"/>
  <c r="U13" i="30"/>
  <c r="T27" i="35"/>
  <c r="T23" i="35"/>
  <c r="T21" i="35"/>
  <c r="C29" i="32"/>
  <c r="E31" i="32" s="1"/>
  <c r="E32" i="32" s="1"/>
  <c r="E33" i="32" s="1"/>
  <c r="Q109" i="1"/>
  <c r="Q108" i="1"/>
  <c r="AB7" i="28"/>
  <c r="AE10" i="28"/>
  <c r="AE15" i="28" s="1"/>
  <c r="G24" i="28"/>
  <c r="AA10" i="28"/>
  <c r="AA15" i="28" s="1"/>
  <c r="E12" i="28"/>
  <c r="O12" i="28"/>
  <c r="E13" i="28"/>
  <c r="O13" i="28"/>
  <c r="E14" i="28"/>
  <c r="O14" i="28"/>
  <c r="E15" i="28"/>
  <c r="O15" i="28"/>
  <c r="E16" i="28"/>
  <c r="O16" i="28"/>
  <c r="AC10" i="28"/>
  <c r="AC12" i="28" s="1"/>
  <c r="G12" i="28"/>
  <c r="S12" i="28"/>
  <c r="G13" i="28"/>
  <c r="S13" i="28"/>
  <c r="G14" i="28"/>
  <c r="S14" i="28"/>
  <c r="G15" i="28"/>
  <c r="S15" i="28"/>
  <c r="G16" i="28"/>
  <c r="S16" i="28"/>
  <c r="AD10" i="28"/>
  <c r="AD13" i="28" s="1"/>
  <c r="H12" i="28"/>
  <c r="T12" i="28"/>
  <c r="H13" i="28"/>
  <c r="T13" i="28"/>
  <c r="H14" i="28"/>
  <c r="T14" i="28"/>
  <c r="H15" i="28"/>
  <c r="T15" i="28"/>
  <c r="H16" i="28"/>
  <c r="T16" i="28"/>
  <c r="K12" i="28"/>
  <c r="U12" i="28"/>
  <c r="K13" i="28"/>
  <c r="U13" i="28"/>
  <c r="K14" i="28"/>
  <c r="U14" i="28"/>
  <c r="K15" i="28"/>
  <c r="U15" i="28"/>
  <c r="K16" i="28"/>
  <c r="U16" i="28"/>
  <c r="AF10" i="28"/>
  <c r="AF16" i="28" s="1"/>
  <c r="L12" i="28"/>
  <c r="V12" i="28"/>
  <c r="L13" i="28"/>
  <c r="V13" i="28"/>
  <c r="L14" i="28"/>
  <c r="V14" i="28"/>
  <c r="L15" i="28"/>
  <c r="V15" i="28"/>
  <c r="L16" i="28"/>
  <c r="V16" i="28"/>
  <c r="C12" i="28"/>
  <c r="W12" i="28"/>
  <c r="C13" i="28"/>
  <c r="W13" i="28"/>
  <c r="C14" i="28"/>
  <c r="M14" i="28"/>
  <c r="C15" i="28"/>
  <c r="M15" i="28"/>
  <c r="W15" i="28"/>
  <c r="C16" i="28"/>
  <c r="M16" i="28"/>
  <c r="W16" i="28"/>
  <c r="M17" i="28"/>
  <c r="O24" i="28" s="1"/>
  <c r="W17" i="28"/>
  <c r="W24" i="28" s="1"/>
  <c r="M12" i="28"/>
  <c r="D12" i="28"/>
  <c r="N12" i="28"/>
  <c r="X12" i="28"/>
  <c r="D13" i="28"/>
  <c r="N13" i="28"/>
  <c r="X13" i="28"/>
  <c r="D14" i="28"/>
  <c r="N14" i="28"/>
  <c r="X14" i="28"/>
  <c r="D15" i="28"/>
  <c r="N15" i="28"/>
  <c r="X15" i="28"/>
  <c r="D16" i="28"/>
  <c r="N16" i="28"/>
  <c r="X16" i="28"/>
  <c r="AB10" i="28"/>
  <c r="AB15" i="28" s="1"/>
  <c r="F12" i="28"/>
  <c r="P12" i="28"/>
  <c r="F13" i="28"/>
  <c r="P13" i="28"/>
  <c r="F14" i="28"/>
  <c r="P14" i="28"/>
  <c r="F15" i="28"/>
  <c r="P15" i="28"/>
  <c r="F16" i="28"/>
  <c r="P16" i="28"/>
  <c r="AF15" i="27"/>
  <c r="AA31" i="27"/>
  <c r="AA39" i="27" s="1"/>
  <c r="AB26" i="27"/>
  <c r="AF14" i="27"/>
  <c r="AC16" i="27"/>
  <c r="O24" i="27"/>
  <c r="AF13" i="27"/>
  <c r="AA28" i="27"/>
  <c r="AA36" i="27" s="1"/>
  <c r="AC15" i="27"/>
  <c r="AF16" i="27"/>
  <c r="G12" i="27"/>
  <c r="AC12" i="27"/>
  <c r="S13" i="27"/>
  <c r="W20" i="27" s="1"/>
  <c r="G14" i="27"/>
  <c r="AC14" i="27"/>
  <c r="G15" i="27"/>
  <c r="S15" i="27"/>
  <c r="G16" i="27"/>
  <c r="G17" i="27"/>
  <c r="G24" i="27" s="1"/>
  <c r="S17" i="27"/>
  <c r="W24" i="27" s="1"/>
  <c r="AA13" i="27"/>
  <c r="AE20" i="27" s="1"/>
  <c r="AC35" i="27" s="1"/>
  <c r="S12" i="27"/>
  <c r="S14" i="27"/>
  <c r="AD10" i="27"/>
  <c r="AD13" i="27" s="1"/>
  <c r="H12" i="27"/>
  <c r="T12" i="27"/>
  <c r="H13" i="27"/>
  <c r="T13" i="27"/>
  <c r="H14" i="27"/>
  <c r="T14" i="27"/>
  <c r="H15" i="27"/>
  <c r="T15" i="27"/>
  <c r="H16" i="27"/>
  <c r="T16" i="27"/>
  <c r="W23" i="27" s="1"/>
  <c r="AD17" i="27"/>
  <c r="AA12" i="27"/>
  <c r="AE19" i="27" s="1"/>
  <c r="AC34" i="27" s="1"/>
  <c r="AE10" i="27"/>
  <c r="K12" i="27"/>
  <c r="U12" i="27"/>
  <c r="AE12" i="27"/>
  <c r="K13" i="27"/>
  <c r="U13" i="27"/>
  <c r="AE13" i="27"/>
  <c r="K14" i="27"/>
  <c r="U14" i="27"/>
  <c r="AE14" i="27"/>
  <c r="K15" i="27"/>
  <c r="U15" i="27"/>
  <c r="AE15" i="27"/>
  <c r="K16" i="27"/>
  <c r="U16" i="27"/>
  <c r="AE16" i="27"/>
  <c r="AE17" i="27"/>
  <c r="AF10" i="27"/>
  <c r="AF12" i="27" s="1"/>
  <c r="L12" i="27"/>
  <c r="V12" i="27"/>
  <c r="L13" i="27"/>
  <c r="V13" i="27"/>
  <c r="L14" i="27"/>
  <c r="V14" i="27"/>
  <c r="L15" i="27"/>
  <c r="V15" i="27"/>
  <c r="L16" i="27"/>
  <c r="V16" i="27"/>
  <c r="C12" i="27"/>
  <c r="G19" i="27" s="1"/>
  <c r="M12" i="27"/>
  <c r="W12" i="27"/>
  <c r="C13" i="27"/>
  <c r="M13" i="27"/>
  <c r="W13" i="27"/>
  <c r="C14" i="27"/>
  <c r="M14" i="27"/>
  <c r="W14" i="27"/>
  <c r="C15" i="27"/>
  <c r="G22" i="27" s="1"/>
  <c r="M15" i="27"/>
  <c r="W15" i="27"/>
  <c r="C16" i="27"/>
  <c r="M16" i="27"/>
  <c r="W16" i="27"/>
  <c r="D12" i="27"/>
  <c r="N12" i="27"/>
  <c r="X12" i="27"/>
  <c r="D13" i="27"/>
  <c r="N13" i="27"/>
  <c r="X13" i="27"/>
  <c r="D14" i="27"/>
  <c r="N14" i="27"/>
  <c r="X14" i="27"/>
  <c r="D15" i="27"/>
  <c r="N15" i="27"/>
  <c r="X15" i="27"/>
  <c r="D16" i="27"/>
  <c r="N16" i="27"/>
  <c r="X16" i="27"/>
  <c r="AA10" i="27"/>
  <c r="AA14" i="27" s="1"/>
  <c r="AE21" i="27" s="1"/>
  <c r="E12" i="27"/>
  <c r="O12" i="27"/>
  <c r="E13" i="27"/>
  <c r="O13" i="27"/>
  <c r="E14" i="27"/>
  <c r="O14" i="27"/>
  <c r="E15" i="27"/>
  <c r="O15" i="27"/>
  <c r="E16" i="27"/>
  <c r="O16" i="27"/>
  <c r="AA17" i="27"/>
  <c r="AE24" i="27" s="1"/>
  <c r="AB10" i="27"/>
  <c r="AB14" i="27" s="1"/>
  <c r="F12" i="27"/>
  <c r="P12" i="27"/>
  <c r="F13" i="27"/>
  <c r="P13" i="27"/>
  <c r="AB13" i="27"/>
  <c r="F14" i="27"/>
  <c r="P14" i="27"/>
  <c r="F15" i="27"/>
  <c r="P15" i="27"/>
  <c r="F16" i="27"/>
  <c r="P16" i="27"/>
  <c r="AB16" i="27"/>
  <c r="AB17" i="27"/>
  <c r="O23" i="26"/>
  <c r="O27" i="26"/>
  <c r="O21" i="26"/>
  <c r="O22" i="26"/>
  <c r="E27" i="26"/>
  <c r="E23" i="26"/>
  <c r="E21" i="26"/>
  <c r="E22" i="26"/>
  <c r="D22" i="26"/>
  <c r="D27" i="26"/>
  <c r="D23" i="26"/>
  <c r="D21" i="26"/>
  <c r="C22" i="26"/>
  <c r="C27" i="26"/>
  <c r="C23" i="26"/>
  <c r="C21" i="26"/>
  <c r="C25" i="26" s="1"/>
  <c r="C29" i="26" s="1"/>
  <c r="O3" i="26"/>
  <c r="Q6" i="26"/>
  <c r="N17" i="26"/>
  <c r="J27" i="26"/>
  <c r="J23" i="26"/>
  <c r="J22" i="26"/>
  <c r="J21" i="26"/>
  <c r="S12" i="26"/>
  <c r="J12" i="26"/>
  <c r="I3" i="26"/>
  <c r="M12" i="26"/>
  <c r="O16" i="26" s="1"/>
  <c r="S13" i="26"/>
  <c r="L4" i="26"/>
  <c r="N12" i="26"/>
  <c r="R8" i="26"/>
  <c r="R11" i="26" s="1"/>
  <c r="J11" i="26"/>
  <c r="I12" i="26"/>
  <c r="J16" i="26" s="1"/>
  <c r="L5" i="26"/>
  <c r="S8" i="26"/>
  <c r="S11" i="26" s="1"/>
  <c r="M11" i="26"/>
  <c r="I17" i="26"/>
  <c r="I11" i="26"/>
  <c r="J15" i="26" s="1"/>
  <c r="T8" i="26"/>
  <c r="T11" i="26" s="1"/>
  <c r="N11" i="26"/>
  <c r="D22" i="25"/>
  <c r="D27" i="25"/>
  <c r="D23" i="25"/>
  <c r="D21" i="25"/>
  <c r="C27" i="25"/>
  <c r="C23" i="25"/>
  <c r="C21" i="25"/>
  <c r="C25" i="25" s="1"/>
  <c r="C29" i="25" s="1"/>
  <c r="C22" i="25"/>
  <c r="O17" i="25"/>
  <c r="E27" i="25"/>
  <c r="E23" i="25"/>
  <c r="E21" i="25"/>
  <c r="E22" i="25"/>
  <c r="O3" i="25"/>
  <c r="N17" i="25"/>
  <c r="Q6" i="25"/>
  <c r="M12" i="25"/>
  <c r="O16" i="25" s="1"/>
  <c r="S13" i="25"/>
  <c r="L4" i="25"/>
  <c r="I11" i="25"/>
  <c r="J15" i="25" s="1"/>
  <c r="I13" i="25"/>
  <c r="J17" i="25" s="1"/>
  <c r="L5" i="25"/>
  <c r="J12" i="25"/>
  <c r="J16" i="25" s="1"/>
  <c r="I3" i="25"/>
  <c r="R8" i="25"/>
  <c r="R11" i="25" s="1"/>
  <c r="T15" i="25" s="1"/>
  <c r="R21" i="25" s="1"/>
  <c r="J11" i="25"/>
  <c r="T13" i="25"/>
  <c r="S8" i="25"/>
  <c r="S11" i="25" s="1"/>
  <c r="M11" i="25"/>
  <c r="I17" i="25"/>
  <c r="N12" i="25"/>
  <c r="T8" i="25"/>
  <c r="T11" i="25" s="1"/>
  <c r="N11" i="25"/>
  <c r="E27" i="24"/>
  <c r="E23" i="24"/>
  <c r="E21" i="24"/>
  <c r="E22" i="24"/>
  <c r="D27" i="24"/>
  <c r="D21" i="24"/>
  <c r="D22" i="24"/>
  <c r="D23" i="24"/>
  <c r="C27" i="24"/>
  <c r="C23" i="24"/>
  <c r="E25" i="24" s="1"/>
  <c r="E29" i="24" s="1"/>
  <c r="C22" i="24"/>
  <c r="D25" i="24" s="1"/>
  <c r="C21" i="24"/>
  <c r="C25" i="24" s="1"/>
  <c r="C29" i="24" s="1"/>
  <c r="T12" i="24"/>
  <c r="N17" i="24"/>
  <c r="O3" i="24"/>
  <c r="Q6" i="24"/>
  <c r="J15" i="24"/>
  <c r="O23" i="24"/>
  <c r="O21" i="24"/>
  <c r="O27" i="24"/>
  <c r="O22" i="24"/>
  <c r="J17" i="24"/>
  <c r="T15" i="24"/>
  <c r="R23" i="24"/>
  <c r="I12" i="24"/>
  <c r="J16" i="24" s="1"/>
  <c r="R13" i="24"/>
  <c r="M12" i="24"/>
  <c r="L4" i="24"/>
  <c r="I13" i="24"/>
  <c r="L5" i="24"/>
  <c r="S13" i="24"/>
  <c r="N12" i="24"/>
  <c r="J11" i="24"/>
  <c r="J13" i="24"/>
  <c r="I3" i="24"/>
  <c r="S8" i="24"/>
  <c r="S11" i="24" s="1"/>
  <c r="M11" i="24"/>
  <c r="O15" i="24" s="1"/>
  <c r="I17" i="24"/>
  <c r="T8" i="24"/>
  <c r="T11" i="24" s="1"/>
  <c r="N11" i="24"/>
  <c r="AE24" i="31" l="1"/>
  <c r="AE22" i="31"/>
  <c r="AD29" i="31" s="1"/>
  <c r="AE20" i="31"/>
  <c r="AB29" i="31" s="1"/>
  <c r="AE19" i="31"/>
  <c r="AA29" i="31" s="1"/>
  <c r="AE23" i="31"/>
  <c r="AE27" i="31" s="1"/>
  <c r="AE21" i="31"/>
  <c r="AC36" i="31" s="1"/>
  <c r="S35" i="31"/>
  <c r="W35" i="31" s="1"/>
  <c r="R27" i="50"/>
  <c r="V10" i="30"/>
  <c r="R22" i="50"/>
  <c r="R21" i="50"/>
  <c r="R23" i="50"/>
  <c r="AC34" i="31"/>
  <c r="L8" i="30"/>
  <c r="AA28" i="31"/>
  <c r="S27" i="50"/>
  <c r="W10" i="30"/>
  <c r="S22" i="50"/>
  <c r="S23" i="50"/>
  <c r="S21" i="50"/>
  <c r="R27" i="40"/>
  <c r="P11" i="30"/>
  <c r="R21" i="40"/>
  <c r="R22" i="40"/>
  <c r="R23" i="40"/>
  <c r="AC37" i="31"/>
  <c r="R8" i="30"/>
  <c r="AD26" i="31"/>
  <c r="AD28" i="31"/>
  <c r="AD31" i="31"/>
  <c r="AD27" i="31"/>
  <c r="AD30" i="31"/>
  <c r="T23" i="42"/>
  <c r="T27" i="42"/>
  <c r="T21" i="42"/>
  <c r="N13" i="30"/>
  <c r="T22" i="42"/>
  <c r="R21" i="44"/>
  <c r="R27" i="44"/>
  <c r="L11" i="30"/>
  <c r="R22" i="44"/>
  <c r="R23" i="44"/>
  <c r="J31" i="34"/>
  <c r="J32" i="34" s="1"/>
  <c r="J33" i="34" s="1"/>
  <c r="M27" i="41"/>
  <c r="M21" i="41"/>
  <c r="M25" i="41" s="1"/>
  <c r="M29" i="41" s="1"/>
  <c r="M23" i="41"/>
  <c r="M22" i="41"/>
  <c r="T27" i="43"/>
  <c r="T22" i="43"/>
  <c r="T21" i="43"/>
  <c r="M13" i="30"/>
  <c r="T23" i="43"/>
  <c r="E31" i="44"/>
  <c r="E32" i="44" s="1"/>
  <c r="E33" i="44" s="1"/>
  <c r="S27" i="42"/>
  <c r="S22" i="42"/>
  <c r="N12" i="30"/>
  <c r="S21" i="42"/>
  <c r="S23" i="42"/>
  <c r="S25" i="35"/>
  <c r="S29" i="35" s="1"/>
  <c r="J25" i="43"/>
  <c r="J29" i="43" s="1"/>
  <c r="J31" i="35"/>
  <c r="J32" i="35" s="1"/>
  <c r="J33" i="35" s="1"/>
  <c r="S27" i="41"/>
  <c r="O12" i="30"/>
  <c r="S22" i="41"/>
  <c r="S21" i="41"/>
  <c r="S23" i="41"/>
  <c r="I27" i="40"/>
  <c r="I21" i="40"/>
  <c r="I22" i="40"/>
  <c r="I23" i="40"/>
  <c r="M27" i="38"/>
  <c r="M21" i="38"/>
  <c r="M25" i="38" s="1"/>
  <c r="M22" i="38"/>
  <c r="N25" i="38" s="1"/>
  <c r="N29" i="38" s="1"/>
  <c r="M23" i="38"/>
  <c r="O25" i="38" s="1"/>
  <c r="O29" i="38" s="1"/>
  <c r="I25" i="41"/>
  <c r="I29" i="41" s="1"/>
  <c r="I25" i="38"/>
  <c r="I29" i="38" s="1"/>
  <c r="M25" i="36"/>
  <c r="M29" i="36" s="1"/>
  <c r="E25" i="50"/>
  <c r="E29" i="50" s="1"/>
  <c r="S38" i="31"/>
  <c r="W38" i="31" s="1"/>
  <c r="C25" i="39"/>
  <c r="C29" i="39" s="1"/>
  <c r="R29" i="36"/>
  <c r="T31" i="36" s="1"/>
  <c r="T32" i="36" s="1"/>
  <c r="T33" i="36" s="1"/>
  <c r="C26" i="31"/>
  <c r="E34" i="31"/>
  <c r="C29" i="31"/>
  <c r="C28" i="31"/>
  <c r="C27" i="31"/>
  <c r="C31" i="31"/>
  <c r="C30" i="31"/>
  <c r="M36" i="31"/>
  <c r="M28" i="31"/>
  <c r="M26" i="31"/>
  <c r="K34" i="31" s="1"/>
  <c r="O34" i="31" s="1"/>
  <c r="M31" i="31"/>
  <c r="K39" i="31" s="1"/>
  <c r="O39" i="31" s="1"/>
  <c r="M27" i="31"/>
  <c r="K35" i="31" s="1"/>
  <c r="O35" i="31" s="1"/>
  <c r="M29" i="31"/>
  <c r="K37" i="31" s="1"/>
  <c r="O37" i="31" s="1"/>
  <c r="M30" i="31"/>
  <c r="K38" i="31" s="1"/>
  <c r="O38" i="31" s="1"/>
  <c r="J25" i="41"/>
  <c r="J29" i="41" s="1"/>
  <c r="M25" i="44"/>
  <c r="M29" i="44" s="1"/>
  <c r="C29" i="38"/>
  <c r="S27" i="40"/>
  <c r="P12" i="30"/>
  <c r="S21" i="40"/>
  <c r="S22" i="40"/>
  <c r="S23" i="40"/>
  <c r="M27" i="40"/>
  <c r="M21" i="40"/>
  <c r="M25" i="40" s="1"/>
  <c r="M29" i="40" s="1"/>
  <c r="M22" i="40"/>
  <c r="N25" i="40" s="1"/>
  <c r="N29" i="40" s="1"/>
  <c r="M23" i="40"/>
  <c r="O25" i="40" s="1"/>
  <c r="O29" i="40" s="1"/>
  <c r="T15" i="38"/>
  <c r="R25" i="37"/>
  <c r="R29" i="37" s="1"/>
  <c r="J31" i="32"/>
  <c r="J32" i="32" s="1"/>
  <c r="J33" i="32" s="1"/>
  <c r="H27" i="40"/>
  <c r="H22" i="40"/>
  <c r="H21" i="40"/>
  <c r="H25" i="40" s="1"/>
  <c r="H29" i="40" s="1"/>
  <c r="H23" i="40"/>
  <c r="N25" i="44"/>
  <c r="N29" i="44" s="1"/>
  <c r="S34" i="31"/>
  <c r="W34" i="31" s="1"/>
  <c r="D25" i="39"/>
  <c r="D29" i="39" s="1"/>
  <c r="N8" i="30"/>
  <c r="AB28" i="31"/>
  <c r="AB30" i="31"/>
  <c r="AB27" i="31"/>
  <c r="AB26" i="31"/>
  <c r="AB31" i="31"/>
  <c r="R25" i="35"/>
  <c r="R29" i="35" s="1"/>
  <c r="H29" i="39"/>
  <c r="J31" i="39" s="1"/>
  <c r="J32" i="39" s="1"/>
  <c r="J33" i="39" s="1"/>
  <c r="H25" i="43"/>
  <c r="H29" i="43" s="1"/>
  <c r="J31" i="43" s="1"/>
  <c r="J32" i="43" s="1"/>
  <c r="J33" i="43" s="1"/>
  <c r="D25" i="41"/>
  <c r="D29" i="41" s="1"/>
  <c r="AF28" i="31"/>
  <c r="AF31" i="31"/>
  <c r="AF26" i="31"/>
  <c r="AF27" i="31"/>
  <c r="AF30" i="31"/>
  <c r="V8" i="30"/>
  <c r="AF29" i="31"/>
  <c r="AC39" i="31"/>
  <c r="N27" i="41"/>
  <c r="N22" i="41"/>
  <c r="N21" i="41"/>
  <c r="N23" i="41"/>
  <c r="G31" i="31"/>
  <c r="G30" i="31"/>
  <c r="G29" i="31"/>
  <c r="G28" i="31"/>
  <c r="G27" i="31"/>
  <c r="G26" i="31"/>
  <c r="E38" i="31"/>
  <c r="E25" i="43"/>
  <c r="E29" i="43" s="1"/>
  <c r="T25" i="32"/>
  <c r="T29" i="32" s="1"/>
  <c r="T31" i="32" s="1"/>
  <c r="T32" i="32" s="1"/>
  <c r="T33" i="32" s="1"/>
  <c r="S25" i="37"/>
  <c r="S29" i="37" s="1"/>
  <c r="E25" i="41"/>
  <c r="E29" i="41" s="1"/>
  <c r="T16" i="44"/>
  <c r="M25" i="50"/>
  <c r="M29" i="50" s="1"/>
  <c r="I25" i="50"/>
  <c r="I29" i="50" s="1"/>
  <c r="S36" i="31"/>
  <c r="W36" i="31" s="1"/>
  <c r="O31" i="37"/>
  <c r="O32" i="37" s="1"/>
  <c r="O33" i="37" s="1"/>
  <c r="R22" i="34"/>
  <c r="S25" i="34" s="1"/>
  <c r="S29" i="34" s="1"/>
  <c r="V11" i="30"/>
  <c r="R27" i="34"/>
  <c r="R21" i="34"/>
  <c r="R25" i="34" s="1"/>
  <c r="R23" i="34"/>
  <c r="T25" i="34" s="1"/>
  <c r="T29" i="34" s="1"/>
  <c r="O31" i="32"/>
  <c r="O32" i="32" s="1"/>
  <c r="O33" i="32" s="1"/>
  <c r="S21" i="38"/>
  <c r="S27" i="38"/>
  <c r="R12" i="30"/>
  <c r="S22" i="38"/>
  <c r="S23" i="38"/>
  <c r="E31" i="33"/>
  <c r="E32" i="33" s="1"/>
  <c r="E33" i="33" s="1"/>
  <c r="M27" i="43"/>
  <c r="M21" i="43"/>
  <c r="M25" i="43" s="1"/>
  <c r="M22" i="43"/>
  <c r="N25" i="43" s="1"/>
  <c r="N29" i="43" s="1"/>
  <c r="M23" i="43"/>
  <c r="O25" i="43" s="1"/>
  <c r="O29" i="43" s="1"/>
  <c r="T8" i="30"/>
  <c r="AE31" i="31"/>
  <c r="T15" i="39"/>
  <c r="O25" i="50"/>
  <c r="O29" i="50" s="1"/>
  <c r="O25" i="36"/>
  <c r="O29" i="36" s="1"/>
  <c r="H25" i="50"/>
  <c r="H29" i="50" s="1"/>
  <c r="S39" i="31"/>
  <c r="W39" i="31" s="1"/>
  <c r="T17" i="50"/>
  <c r="R27" i="42"/>
  <c r="R21" i="42"/>
  <c r="R25" i="42" s="1"/>
  <c r="R29" i="42" s="1"/>
  <c r="T31" i="42" s="1"/>
  <c r="T32" i="42" s="1"/>
  <c r="T33" i="42" s="1"/>
  <c r="N11" i="30"/>
  <c r="R22" i="42"/>
  <c r="S25" i="42" s="1"/>
  <c r="S29" i="42" s="1"/>
  <c r="R23" i="42"/>
  <c r="T25" i="42" s="1"/>
  <c r="T29" i="42" s="1"/>
  <c r="D25" i="43"/>
  <c r="D29" i="43" s="1"/>
  <c r="E31" i="43" s="1"/>
  <c r="E32" i="43" s="1"/>
  <c r="E33" i="43" s="1"/>
  <c r="J31" i="42"/>
  <c r="J32" i="42" s="1"/>
  <c r="J33" i="42" s="1"/>
  <c r="D27" i="31"/>
  <c r="E35" i="31"/>
  <c r="D26" i="31"/>
  <c r="D29" i="31"/>
  <c r="D28" i="31"/>
  <c r="D31" i="31"/>
  <c r="D30" i="31"/>
  <c r="T16" i="43"/>
  <c r="O31" i="39"/>
  <c r="O32" i="39" s="1"/>
  <c r="O33" i="39" s="1"/>
  <c r="C25" i="41"/>
  <c r="C29" i="41" s="1"/>
  <c r="E31" i="41" s="1"/>
  <c r="E32" i="41" s="1"/>
  <c r="E33" i="41" s="1"/>
  <c r="T21" i="44"/>
  <c r="T27" i="44"/>
  <c r="L13" i="30"/>
  <c r="T22" i="44"/>
  <c r="T23" i="44"/>
  <c r="H25" i="41"/>
  <c r="H29" i="41" s="1"/>
  <c r="J31" i="41" s="1"/>
  <c r="J32" i="41" s="1"/>
  <c r="J33" i="41" s="1"/>
  <c r="J25" i="38"/>
  <c r="J29" i="38" s="1"/>
  <c r="J31" i="38" s="1"/>
  <c r="J32" i="38" s="1"/>
  <c r="J33" i="38" s="1"/>
  <c r="T27" i="39"/>
  <c r="T23" i="39"/>
  <c r="Q13" i="30"/>
  <c r="T21" i="39"/>
  <c r="T22" i="39"/>
  <c r="H28" i="31"/>
  <c r="H31" i="31"/>
  <c r="H26" i="31"/>
  <c r="H27" i="31"/>
  <c r="H30" i="31"/>
  <c r="H29" i="31"/>
  <c r="E39" i="31"/>
  <c r="N25" i="36"/>
  <c r="N29" i="36" s="1"/>
  <c r="D25" i="50"/>
  <c r="D29" i="50" s="1"/>
  <c r="J25" i="50"/>
  <c r="J29" i="50" s="1"/>
  <c r="K36" i="31"/>
  <c r="O36" i="31" s="1"/>
  <c r="E25" i="38"/>
  <c r="E29" i="38" s="1"/>
  <c r="H27" i="44"/>
  <c r="H21" i="44"/>
  <c r="H25" i="44" s="1"/>
  <c r="H22" i="44"/>
  <c r="I25" i="44" s="1"/>
  <c r="I29" i="44" s="1"/>
  <c r="H23" i="44"/>
  <c r="J25" i="44" s="1"/>
  <c r="J29" i="44" s="1"/>
  <c r="T25" i="35"/>
  <c r="T29" i="35" s="1"/>
  <c r="T15" i="43"/>
  <c r="R27" i="41"/>
  <c r="O11" i="30"/>
  <c r="R23" i="41"/>
  <c r="T25" i="41" s="1"/>
  <c r="T29" i="41" s="1"/>
  <c r="R21" i="41"/>
  <c r="R22" i="41"/>
  <c r="S25" i="41" s="1"/>
  <c r="S29" i="41" s="1"/>
  <c r="T27" i="40"/>
  <c r="T23" i="40"/>
  <c r="P13" i="30"/>
  <c r="T22" i="40"/>
  <c r="T21" i="40"/>
  <c r="N25" i="50"/>
  <c r="N29" i="50" s="1"/>
  <c r="S27" i="39"/>
  <c r="S22" i="39"/>
  <c r="Q12" i="30"/>
  <c r="S23" i="39"/>
  <c r="S21" i="39"/>
  <c r="T23" i="41"/>
  <c r="T22" i="41"/>
  <c r="T27" i="41"/>
  <c r="O13" i="30"/>
  <c r="T21" i="41"/>
  <c r="C25" i="50"/>
  <c r="C29" i="50" s="1"/>
  <c r="E31" i="50" s="1"/>
  <c r="E32" i="50" s="1"/>
  <c r="E33" i="50" s="1"/>
  <c r="O25" i="44"/>
  <c r="O29" i="44" s="1"/>
  <c r="S37" i="31"/>
  <c r="W37" i="31" s="1"/>
  <c r="D29" i="38"/>
  <c r="E25" i="39"/>
  <c r="E29" i="39" s="1"/>
  <c r="W19" i="28"/>
  <c r="S27" i="28" s="1"/>
  <c r="AE17" i="28"/>
  <c r="AE16" i="28"/>
  <c r="AE13" i="28"/>
  <c r="AE12" i="28"/>
  <c r="AE14" i="28"/>
  <c r="AD14" i="28"/>
  <c r="AD17" i="28"/>
  <c r="AB12" i="28"/>
  <c r="G22" i="28"/>
  <c r="F28" i="28" s="1"/>
  <c r="AB14" i="28"/>
  <c r="AB17" i="28"/>
  <c r="AC14" i="28"/>
  <c r="AC17" i="28"/>
  <c r="AB16" i="28"/>
  <c r="AB13" i="28"/>
  <c r="U39" i="28"/>
  <c r="X31" i="28"/>
  <c r="X30" i="28"/>
  <c r="X29" i="28"/>
  <c r="X28" i="28"/>
  <c r="X27" i="28"/>
  <c r="X26" i="28"/>
  <c r="P31" i="28"/>
  <c r="P30" i="28"/>
  <c r="P29" i="28"/>
  <c r="P28" i="28"/>
  <c r="P27" i="28"/>
  <c r="P26" i="28"/>
  <c r="M39" i="28"/>
  <c r="G21" i="28"/>
  <c r="W21" i="28"/>
  <c r="AF14" i="28"/>
  <c r="W23" i="28"/>
  <c r="AF17" i="28"/>
  <c r="AF15" i="28"/>
  <c r="U34" i="28"/>
  <c r="S31" i="28"/>
  <c r="S30" i="28"/>
  <c r="S29" i="28"/>
  <c r="S28" i="28"/>
  <c r="S26" i="28"/>
  <c r="AA14" i="28"/>
  <c r="O21" i="28"/>
  <c r="AC16" i="28"/>
  <c r="G20" i="28"/>
  <c r="AC13" i="28"/>
  <c r="G23" i="28"/>
  <c r="O23" i="28"/>
  <c r="O20" i="28"/>
  <c r="AD15" i="28"/>
  <c r="W20" i="28"/>
  <c r="AF13" i="28"/>
  <c r="O19" i="28"/>
  <c r="AF12" i="28"/>
  <c r="AD16" i="28"/>
  <c r="G19" i="28"/>
  <c r="AD12" i="28"/>
  <c r="AC15" i="28"/>
  <c r="AA16" i="28"/>
  <c r="AA12" i="28"/>
  <c r="E39" i="28"/>
  <c r="H31" i="28"/>
  <c r="H30" i="28"/>
  <c r="H29" i="28"/>
  <c r="H28" i="28"/>
  <c r="H27" i="28"/>
  <c r="H26" i="28"/>
  <c r="AA17" i="28"/>
  <c r="AA13" i="28"/>
  <c r="O22" i="28"/>
  <c r="W22" i="28"/>
  <c r="W31" i="27"/>
  <c r="W30" i="27"/>
  <c r="W29" i="27"/>
  <c r="W28" i="27"/>
  <c r="W27" i="27"/>
  <c r="W26" i="27"/>
  <c r="U38" i="27"/>
  <c r="AC36" i="27"/>
  <c r="AE36" i="27" s="1"/>
  <c r="AC29" i="27"/>
  <c r="AC26" i="27"/>
  <c r="AC30" i="27"/>
  <c r="AC31" i="27"/>
  <c r="AC28" i="27"/>
  <c r="AC27" i="27"/>
  <c r="E39" i="27"/>
  <c r="H31" i="27"/>
  <c r="H30" i="27"/>
  <c r="H29" i="27"/>
  <c r="H28" i="27"/>
  <c r="H27" i="27"/>
  <c r="H26" i="27"/>
  <c r="U35" i="27"/>
  <c r="T31" i="27"/>
  <c r="T30" i="27"/>
  <c r="T29" i="27"/>
  <c r="T28" i="27"/>
  <c r="T27" i="27"/>
  <c r="T26" i="27"/>
  <c r="O23" i="27"/>
  <c r="AD16" i="27"/>
  <c r="O20" i="27"/>
  <c r="G20" i="27"/>
  <c r="O21" i="27"/>
  <c r="AD14" i="27"/>
  <c r="AB30" i="27"/>
  <c r="AE39" i="27"/>
  <c r="U39" i="27"/>
  <c r="X31" i="27"/>
  <c r="X30" i="27"/>
  <c r="X29" i="27"/>
  <c r="X28" i="27"/>
  <c r="X27" i="27"/>
  <c r="X26" i="27"/>
  <c r="W19" i="27"/>
  <c r="G21" i="27"/>
  <c r="O22" i="27"/>
  <c r="AD15" i="27"/>
  <c r="W22" i="27"/>
  <c r="AF17" i="27"/>
  <c r="AA29" i="27"/>
  <c r="AA37" i="27" s="1"/>
  <c r="AA30" i="27"/>
  <c r="AA38" i="27" s="1"/>
  <c r="AB27" i="27"/>
  <c r="AF31" i="27"/>
  <c r="AF30" i="27"/>
  <c r="AF29" i="27"/>
  <c r="AF28" i="27"/>
  <c r="AF27" i="27"/>
  <c r="AF26" i="27"/>
  <c r="AC39" i="27"/>
  <c r="W21" i="27"/>
  <c r="P31" i="27"/>
  <c r="P30" i="27"/>
  <c r="P29" i="27"/>
  <c r="P28" i="27"/>
  <c r="P27" i="27"/>
  <c r="P26" i="27"/>
  <c r="M39" i="27"/>
  <c r="E34" i="27"/>
  <c r="C31" i="27"/>
  <c r="C30" i="27"/>
  <c r="C29" i="27"/>
  <c r="C28" i="27"/>
  <c r="C27" i="27"/>
  <c r="C26" i="27"/>
  <c r="O19" i="27"/>
  <c r="AD12" i="27"/>
  <c r="AB28" i="27"/>
  <c r="AA26" i="27"/>
  <c r="AA34" i="27" s="1"/>
  <c r="AE34" i="27" s="1"/>
  <c r="AE41" i="27" s="1"/>
  <c r="AE42" i="27" s="1"/>
  <c r="AE43" i="27" s="1"/>
  <c r="F31" i="27"/>
  <c r="F30" i="27"/>
  <c r="F29" i="27"/>
  <c r="F28" i="27"/>
  <c r="F27" i="27"/>
  <c r="F26" i="27"/>
  <c r="E37" i="27"/>
  <c r="AB15" i="27"/>
  <c r="AB12" i="27"/>
  <c r="AA16" i="27"/>
  <c r="AE23" i="27" s="1"/>
  <c r="AA15" i="27"/>
  <c r="AE22" i="27" s="1"/>
  <c r="G23" i="27"/>
  <c r="AB29" i="27"/>
  <c r="AB31" i="27"/>
  <c r="AA27" i="27"/>
  <c r="AA35" i="27" s="1"/>
  <c r="AE35" i="27" s="1"/>
  <c r="H27" i="26"/>
  <c r="H23" i="26"/>
  <c r="H21" i="26"/>
  <c r="H22" i="26"/>
  <c r="I22" i="26"/>
  <c r="I27" i="26"/>
  <c r="I21" i="26"/>
  <c r="I23" i="26"/>
  <c r="N16" i="26"/>
  <c r="N3" i="26"/>
  <c r="Q5" i="26"/>
  <c r="T15" i="26"/>
  <c r="D25" i="26"/>
  <c r="D29" i="26" s="1"/>
  <c r="T13" i="26"/>
  <c r="N22" i="26"/>
  <c r="N27" i="26"/>
  <c r="N23" i="26"/>
  <c r="N21" i="26"/>
  <c r="R13" i="26"/>
  <c r="O15" i="26"/>
  <c r="T12" i="26"/>
  <c r="E25" i="26"/>
  <c r="E29" i="26" s="1"/>
  <c r="E31" i="26" s="1"/>
  <c r="E32" i="26" s="1"/>
  <c r="E33" i="26" s="1"/>
  <c r="Q4" i="26"/>
  <c r="N15" i="26"/>
  <c r="M3" i="26"/>
  <c r="T3" i="26"/>
  <c r="S17" i="26"/>
  <c r="R12" i="26"/>
  <c r="T16" i="26" s="1"/>
  <c r="I27" i="25"/>
  <c r="I23" i="25"/>
  <c r="I21" i="25"/>
  <c r="I22" i="25"/>
  <c r="H27" i="25"/>
  <c r="H23" i="25"/>
  <c r="J25" i="25" s="1"/>
  <c r="J29" i="25" s="1"/>
  <c r="H21" i="25"/>
  <c r="H25" i="25" s="1"/>
  <c r="H29" i="25" s="1"/>
  <c r="H22" i="25"/>
  <c r="J22" i="25"/>
  <c r="J23" i="25"/>
  <c r="J21" i="25"/>
  <c r="J27" i="25"/>
  <c r="E31" i="25"/>
  <c r="E32" i="25" s="1"/>
  <c r="E33" i="25" s="1"/>
  <c r="Q4" i="25"/>
  <c r="M3" i="25"/>
  <c r="N15" i="25"/>
  <c r="E25" i="25"/>
  <c r="E29" i="25" s="1"/>
  <c r="S17" i="25"/>
  <c r="T3" i="25"/>
  <c r="R13" i="25"/>
  <c r="T17" i="25" s="1"/>
  <c r="R23" i="25"/>
  <c r="N22" i="25"/>
  <c r="N21" i="25"/>
  <c r="N27" i="25"/>
  <c r="N23" i="25"/>
  <c r="O22" i="25"/>
  <c r="O27" i="25"/>
  <c r="O23" i="25"/>
  <c r="O21" i="25"/>
  <c r="O15" i="25"/>
  <c r="Q5" i="25"/>
  <c r="N16" i="25"/>
  <c r="N3" i="25"/>
  <c r="S12" i="25"/>
  <c r="T12" i="25"/>
  <c r="R27" i="25"/>
  <c r="R22" i="25"/>
  <c r="R12" i="25"/>
  <c r="T16" i="25" s="1"/>
  <c r="D25" i="25"/>
  <c r="D29" i="25" s="1"/>
  <c r="I23" i="24"/>
  <c r="I27" i="24"/>
  <c r="I21" i="24"/>
  <c r="I22" i="24"/>
  <c r="R27" i="24"/>
  <c r="R22" i="24"/>
  <c r="D29" i="24"/>
  <c r="E31" i="24" s="1"/>
  <c r="E32" i="24" s="1"/>
  <c r="E33" i="24" s="1"/>
  <c r="T13" i="24"/>
  <c r="T17" i="24" s="1"/>
  <c r="J22" i="24"/>
  <c r="J23" i="24"/>
  <c r="J21" i="24"/>
  <c r="J27" i="24"/>
  <c r="R21" i="24"/>
  <c r="M3" i="24"/>
  <c r="N15" i="24"/>
  <c r="Q4" i="24"/>
  <c r="S12" i="24"/>
  <c r="T16" i="24" s="1"/>
  <c r="H27" i="24"/>
  <c r="H23" i="24"/>
  <c r="J25" i="24" s="1"/>
  <c r="H21" i="24"/>
  <c r="H25" i="24" s="1"/>
  <c r="H29" i="24" s="1"/>
  <c r="H22" i="24"/>
  <c r="I25" i="24" s="1"/>
  <c r="I29" i="24" s="1"/>
  <c r="M27" i="24"/>
  <c r="M23" i="24"/>
  <c r="M22" i="24"/>
  <c r="M21" i="24"/>
  <c r="S17" i="24"/>
  <c r="T3" i="24"/>
  <c r="Q5" i="24"/>
  <c r="N3" i="24"/>
  <c r="N16" i="24"/>
  <c r="O16" i="24"/>
  <c r="AC38" i="31" l="1"/>
  <c r="AA31" i="31"/>
  <c r="AC29" i="31"/>
  <c r="AA37" i="31" s="1"/>
  <c r="AE37" i="31" s="1"/>
  <c r="AC27" i="31"/>
  <c r="AC30" i="31"/>
  <c r="AC35" i="31"/>
  <c r="AA26" i="31"/>
  <c r="AA34" i="31" s="1"/>
  <c r="AE34" i="31" s="1"/>
  <c r="AE29" i="31"/>
  <c r="AC28" i="31"/>
  <c r="AA27" i="31"/>
  <c r="AE28" i="31"/>
  <c r="AA36" i="31" s="1"/>
  <c r="AE36" i="31" s="1"/>
  <c r="AE26" i="31"/>
  <c r="AE30" i="31"/>
  <c r="AC26" i="31"/>
  <c r="AA30" i="31"/>
  <c r="AA38" i="31" s="1"/>
  <c r="AE38" i="31" s="1"/>
  <c r="AC31" i="31"/>
  <c r="P8" i="30"/>
  <c r="R23" i="39"/>
  <c r="T25" i="39" s="1"/>
  <c r="T29" i="39" s="1"/>
  <c r="R21" i="39"/>
  <c r="R25" i="39" s="1"/>
  <c r="R27" i="39"/>
  <c r="Q11" i="30"/>
  <c r="R22" i="39"/>
  <c r="S25" i="39" s="1"/>
  <c r="S29" i="39" s="1"/>
  <c r="C38" i="31"/>
  <c r="G38" i="31" s="1"/>
  <c r="E31" i="39"/>
  <c r="E32" i="39" s="1"/>
  <c r="E33" i="39" s="1"/>
  <c r="R27" i="43"/>
  <c r="M11" i="30"/>
  <c r="R22" i="43"/>
  <c r="R21" i="43"/>
  <c r="R23" i="43"/>
  <c r="T31" i="35"/>
  <c r="T32" i="35" s="1"/>
  <c r="T33" i="35" s="1"/>
  <c r="C39" i="31"/>
  <c r="G39" i="31" s="1"/>
  <c r="M29" i="38"/>
  <c r="O31" i="38" s="1"/>
  <c r="O32" i="38" s="1"/>
  <c r="O33" i="38" s="1"/>
  <c r="T25" i="40"/>
  <c r="T29" i="40" s="1"/>
  <c r="T27" i="50"/>
  <c r="X10" i="30"/>
  <c r="T22" i="50"/>
  <c r="T23" i="50"/>
  <c r="T21" i="50"/>
  <c r="T31" i="37"/>
  <c r="T32" i="37" s="1"/>
  <c r="T33" i="37" s="1"/>
  <c r="C35" i="31"/>
  <c r="G35" i="31" s="1"/>
  <c r="O41" i="31"/>
  <c r="O42" i="31" s="1"/>
  <c r="O43" i="31" s="1"/>
  <c r="N25" i="41"/>
  <c r="N29" i="41" s="1"/>
  <c r="S25" i="40"/>
  <c r="S29" i="40" s="1"/>
  <c r="S27" i="43"/>
  <c r="M12" i="30"/>
  <c r="S21" i="43"/>
  <c r="S22" i="43"/>
  <c r="S23" i="43"/>
  <c r="M29" i="43"/>
  <c r="O31" i="43" s="1"/>
  <c r="O32" i="43" s="1"/>
  <c r="O33" i="43" s="1"/>
  <c r="W41" i="31"/>
  <c r="W42" i="31" s="1"/>
  <c r="W43" i="31" s="1"/>
  <c r="R27" i="38"/>
  <c r="R11" i="30"/>
  <c r="R22" i="38"/>
  <c r="S25" i="38" s="1"/>
  <c r="S29" i="38" s="1"/>
  <c r="R21" i="38"/>
  <c r="R25" i="38" s="1"/>
  <c r="R23" i="38"/>
  <c r="T25" i="38" s="1"/>
  <c r="T29" i="38" s="1"/>
  <c r="C36" i="31"/>
  <c r="G36" i="31" s="1"/>
  <c r="O25" i="41"/>
  <c r="O29" i="41" s="1"/>
  <c r="R25" i="40"/>
  <c r="R29" i="40" s="1"/>
  <c r="T31" i="40" s="1"/>
  <c r="T32" i="40" s="1"/>
  <c r="T33" i="40" s="1"/>
  <c r="T25" i="50"/>
  <c r="C37" i="31"/>
  <c r="G37" i="31" s="1"/>
  <c r="O31" i="36"/>
  <c r="O32" i="36" s="1"/>
  <c r="O33" i="36" s="1"/>
  <c r="O31" i="41"/>
  <c r="O32" i="41" s="1"/>
  <c r="O33" i="41" s="1"/>
  <c r="R25" i="50"/>
  <c r="R29" i="50" s="1"/>
  <c r="R25" i="41"/>
  <c r="R29" i="41" s="1"/>
  <c r="T31" i="41" s="1"/>
  <c r="T32" i="41" s="1"/>
  <c r="T33" i="41" s="1"/>
  <c r="H29" i="44"/>
  <c r="J31" i="44" s="1"/>
  <c r="J32" i="44" s="1"/>
  <c r="J33" i="44" s="1"/>
  <c r="J31" i="50"/>
  <c r="J32" i="50" s="1"/>
  <c r="J33" i="50" s="1"/>
  <c r="R29" i="34"/>
  <c r="T31" i="34" s="1"/>
  <c r="T32" i="34" s="1"/>
  <c r="T33" i="34" s="1"/>
  <c r="O31" i="50"/>
  <c r="O32" i="50" s="1"/>
  <c r="O33" i="50" s="1"/>
  <c r="J25" i="40"/>
  <c r="J29" i="40" s="1"/>
  <c r="E31" i="38"/>
  <c r="E32" i="38" s="1"/>
  <c r="E33" i="38" s="1"/>
  <c r="S25" i="50"/>
  <c r="S29" i="50" s="1"/>
  <c r="S27" i="44"/>
  <c r="S22" i="44"/>
  <c r="S25" i="44" s="1"/>
  <c r="S29" i="44" s="1"/>
  <c r="L12" i="30"/>
  <c r="S21" i="44"/>
  <c r="R25" i="44" s="1"/>
  <c r="R29" i="44" s="1"/>
  <c r="S23" i="44"/>
  <c r="T25" i="44" s="1"/>
  <c r="T29" i="44" s="1"/>
  <c r="O31" i="40"/>
  <c r="O32" i="40" s="1"/>
  <c r="O33" i="40" s="1"/>
  <c r="O31" i="44"/>
  <c r="O32" i="44" s="1"/>
  <c r="O33" i="44" s="1"/>
  <c r="C34" i="31"/>
  <c r="G34" i="31" s="1"/>
  <c r="AA35" i="31"/>
  <c r="I25" i="40"/>
  <c r="I29" i="40" s="1"/>
  <c r="J31" i="40" s="1"/>
  <c r="J32" i="40" s="1"/>
  <c r="J33" i="40" s="1"/>
  <c r="AA39" i="31"/>
  <c r="AE39" i="31" s="1"/>
  <c r="AE22" i="28"/>
  <c r="AD29" i="28" s="1"/>
  <c r="AA26" i="28"/>
  <c r="AE21" i="28"/>
  <c r="AC36" i="28" s="1"/>
  <c r="AE23" i="28"/>
  <c r="AE31" i="28" s="1"/>
  <c r="AD28" i="28"/>
  <c r="AD31" i="28"/>
  <c r="AD26" i="28"/>
  <c r="AE20" i="28"/>
  <c r="AB29" i="28" s="1"/>
  <c r="AE24" i="28"/>
  <c r="AF29" i="28" s="1"/>
  <c r="F29" i="28"/>
  <c r="F31" i="28"/>
  <c r="F30" i="28"/>
  <c r="E37" i="28"/>
  <c r="F26" i="28"/>
  <c r="F27" i="28"/>
  <c r="U37" i="28"/>
  <c r="V31" i="28"/>
  <c r="V30" i="28"/>
  <c r="V29" i="28"/>
  <c r="V28" i="28"/>
  <c r="V27" i="28"/>
  <c r="V26" i="28"/>
  <c r="U36" i="28"/>
  <c r="U31" i="28"/>
  <c r="U30" i="28"/>
  <c r="U29" i="28"/>
  <c r="U28" i="28"/>
  <c r="U27" i="28"/>
  <c r="U26" i="28"/>
  <c r="N31" i="28"/>
  <c r="N30" i="28"/>
  <c r="N29" i="28"/>
  <c r="N28" i="28"/>
  <c r="N27" i="28"/>
  <c r="N26" i="28"/>
  <c r="M37" i="28"/>
  <c r="K31" i="28"/>
  <c r="K30" i="28"/>
  <c r="K29" i="28"/>
  <c r="K28" i="28"/>
  <c r="K27" i="28"/>
  <c r="K26" i="28"/>
  <c r="M34" i="28"/>
  <c r="E31" i="28"/>
  <c r="E30" i="28"/>
  <c r="E29" i="28"/>
  <c r="E28" i="28"/>
  <c r="E27" i="28"/>
  <c r="E26" i="28"/>
  <c r="E36" i="28"/>
  <c r="AC34" i="28"/>
  <c r="AA29" i="28"/>
  <c r="U35" i="28"/>
  <c r="T31" i="28"/>
  <c r="T30" i="28"/>
  <c r="T29" i="28"/>
  <c r="T28" i="28"/>
  <c r="T27" i="28"/>
  <c r="T26" i="28"/>
  <c r="M35" i="28"/>
  <c r="L31" i="28"/>
  <c r="L30" i="28"/>
  <c r="L29" i="28"/>
  <c r="L28" i="28"/>
  <c r="L27" i="28"/>
  <c r="L26" i="28"/>
  <c r="E38" i="28"/>
  <c r="G31" i="28"/>
  <c r="G30" i="28"/>
  <c r="G29" i="28"/>
  <c r="G28" i="28"/>
  <c r="G27" i="28"/>
  <c r="G26" i="28"/>
  <c r="D31" i="28"/>
  <c r="D30" i="28"/>
  <c r="D29" i="28"/>
  <c r="D28" i="28"/>
  <c r="D27" i="28"/>
  <c r="D26" i="28"/>
  <c r="E35" i="28"/>
  <c r="M31" i="28"/>
  <c r="M30" i="28"/>
  <c r="M29" i="28"/>
  <c r="M28" i="28"/>
  <c r="M27" i="28"/>
  <c r="M26" i="28"/>
  <c r="M36" i="28"/>
  <c r="E34" i="28"/>
  <c r="C31" i="28"/>
  <c r="C30" i="28"/>
  <c r="C29" i="28"/>
  <c r="C28" i="28"/>
  <c r="C27" i="28"/>
  <c r="C26" i="28"/>
  <c r="O31" i="28"/>
  <c r="O30" i="28"/>
  <c r="O29" i="28"/>
  <c r="O28" i="28"/>
  <c r="O27" i="28"/>
  <c r="O26" i="28"/>
  <c r="M38" i="28"/>
  <c r="W31" i="28"/>
  <c r="W30" i="28"/>
  <c r="W29" i="28"/>
  <c r="W28" i="28"/>
  <c r="W27" i="28"/>
  <c r="W26" i="28"/>
  <c r="U38" i="28"/>
  <c r="N31" i="27"/>
  <c r="N30" i="27"/>
  <c r="N29" i="27"/>
  <c r="N28" i="27"/>
  <c r="N27" i="27"/>
  <c r="N26" i="27"/>
  <c r="M37" i="27"/>
  <c r="E31" i="27"/>
  <c r="E30" i="27"/>
  <c r="E29" i="27"/>
  <c r="E28" i="27"/>
  <c r="E27" i="27"/>
  <c r="C35" i="27" s="1"/>
  <c r="G35" i="27" s="1"/>
  <c r="E26" i="27"/>
  <c r="E36" i="27"/>
  <c r="U36" i="27"/>
  <c r="U31" i="27"/>
  <c r="U30" i="27"/>
  <c r="U29" i="27"/>
  <c r="U28" i="27"/>
  <c r="U27" i="27"/>
  <c r="U26" i="27"/>
  <c r="U34" i="27"/>
  <c r="S31" i="27"/>
  <c r="S30" i="27"/>
  <c r="S29" i="27"/>
  <c r="S28" i="27"/>
  <c r="S27" i="27"/>
  <c r="S26" i="27"/>
  <c r="S34" i="27" s="1"/>
  <c r="W34" i="27" s="1"/>
  <c r="K31" i="27"/>
  <c r="K30" i="27"/>
  <c r="K29" i="27"/>
  <c r="K28" i="27"/>
  <c r="K27" i="27"/>
  <c r="K26" i="27"/>
  <c r="M34" i="27"/>
  <c r="AE38" i="27"/>
  <c r="U37" i="27"/>
  <c r="V31" i="27"/>
  <c r="V30" i="27"/>
  <c r="V29" i="27"/>
  <c r="V28" i="27"/>
  <c r="V27" i="27"/>
  <c r="V26" i="27"/>
  <c r="O31" i="27"/>
  <c r="O30" i="27"/>
  <c r="O29" i="27"/>
  <c r="O28" i="27"/>
  <c r="O27" i="27"/>
  <c r="O26" i="27"/>
  <c r="M38" i="27"/>
  <c r="C34" i="27"/>
  <c r="G34" i="27" s="1"/>
  <c r="AE37" i="27"/>
  <c r="D31" i="27"/>
  <c r="C39" i="27" s="1"/>
  <c r="G39" i="27" s="1"/>
  <c r="D30" i="27"/>
  <c r="C38" i="27" s="1"/>
  <c r="G38" i="27" s="1"/>
  <c r="D29" i="27"/>
  <c r="D28" i="27"/>
  <c r="C36" i="27" s="1"/>
  <c r="G36" i="27" s="1"/>
  <c r="D27" i="27"/>
  <c r="D26" i="27"/>
  <c r="E35" i="27"/>
  <c r="C37" i="27"/>
  <c r="G37" i="27" s="1"/>
  <c r="M35" i="27"/>
  <c r="L31" i="27"/>
  <c r="L30" i="27"/>
  <c r="L29" i="27"/>
  <c r="L28" i="27"/>
  <c r="L27" i="27"/>
  <c r="L26" i="27"/>
  <c r="E38" i="27"/>
  <c r="G31" i="27"/>
  <c r="G30" i="27"/>
  <c r="G29" i="27"/>
  <c r="G28" i="27"/>
  <c r="G27" i="27"/>
  <c r="G26" i="27"/>
  <c r="AC37" i="27"/>
  <c r="AD31" i="27"/>
  <c r="AD27" i="27"/>
  <c r="AD26" i="27"/>
  <c r="AD30" i="27"/>
  <c r="AD29" i="27"/>
  <c r="AD28" i="27"/>
  <c r="AC38" i="27"/>
  <c r="AE26" i="27"/>
  <c r="AE31" i="27"/>
  <c r="AE29" i="27"/>
  <c r="AE27" i="27"/>
  <c r="AE28" i="27"/>
  <c r="AE30" i="27"/>
  <c r="M31" i="27"/>
  <c r="M30" i="27"/>
  <c r="M29" i="27"/>
  <c r="M28" i="27"/>
  <c r="M27" i="27"/>
  <c r="M26" i="27"/>
  <c r="M36" i="27"/>
  <c r="S27" i="26"/>
  <c r="S21" i="26"/>
  <c r="S23" i="26"/>
  <c r="S22" i="26"/>
  <c r="M22" i="26"/>
  <c r="N25" i="26" s="1"/>
  <c r="N29" i="26" s="1"/>
  <c r="M27" i="26"/>
  <c r="M23" i="26"/>
  <c r="O25" i="26" s="1"/>
  <c r="O29" i="26" s="1"/>
  <c r="M21" i="26"/>
  <c r="M25" i="26" s="1"/>
  <c r="R3" i="26"/>
  <c r="S15" i="26"/>
  <c r="T17" i="26"/>
  <c r="S3" i="26"/>
  <c r="S16" i="26"/>
  <c r="H25" i="26"/>
  <c r="H29" i="26" s="1"/>
  <c r="J31" i="26" s="1"/>
  <c r="J32" i="26" s="1"/>
  <c r="J33" i="26" s="1"/>
  <c r="R27" i="26"/>
  <c r="R22" i="26"/>
  <c r="R21" i="26"/>
  <c r="R23" i="26"/>
  <c r="J25" i="26"/>
  <c r="J29" i="26" s="1"/>
  <c r="I25" i="26"/>
  <c r="I29" i="26" s="1"/>
  <c r="S22" i="25"/>
  <c r="S27" i="25"/>
  <c r="S21" i="25"/>
  <c r="S23" i="25"/>
  <c r="T25" i="25" s="1"/>
  <c r="T29" i="25" s="1"/>
  <c r="S3" i="25"/>
  <c r="S16" i="25"/>
  <c r="I25" i="25"/>
  <c r="I29" i="25" s="1"/>
  <c r="J31" i="25" s="1"/>
  <c r="J32" i="25" s="1"/>
  <c r="J33" i="25" s="1"/>
  <c r="R3" i="25"/>
  <c r="S15" i="25"/>
  <c r="T27" i="25"/>
  <c r="T22" i="25"/>
  <c r="S25" i="25" s="1"/>
  <c r="S29" i="25" s="1"/>
  <c r="T21" i="25"/>
  <c r="T23" i="25"/>
  <c r="M27" i="25"/>
  <c r="M22" i="25"/>
  <c r="N25" i="25" s="1"/>
  <c r="N29" i="25" s="1"/>
  <c r="M23" i="25"/>
  <c r="O25" i="25" s="1"/>
  <c r="O29" i="25" s="1"/>
  <c r="M21" i="25"/>
  <c r="M25" i="25" s="1"/>
  <c r="M29" i="25" s="1"/>
  <c r="O31" i="25" s="1"/>
  <c r="O32" i="25" s="1"/>
  <c r="O33" i="25" s="1"/>
  <c r="T27" i="24"/>
  <c r="T22" i="24"/>
  <c r="T23" i="24"/>
  <c r="T21" i="24"/>
  <c r="N25" i="24"/>
  <c r="N29" i="24" s="1"/>
  <c r="S25" i="24"/>
  <c r="S29" i="24" s="1"/>
  <c r="J29" i="24"/>
  <c r="J31" i="24" s="1"/>
  <c r="J32" i="24" s="1"/>
  <c r="J33" i="24" s="1"/>
  <c r="R3" i="24"/>
  <c r="S15" i="24"/>
  <c r="N22" i="24"/>
  <c r="N27" i="24"/>
  <c r="N23" i="24"/>
  <c r="O25" i="24" s="1"/>
  <c r="O29" i="24" s="1"/>
  <c r="N21" i="24"/>
  <c r="M25" i="24" s="1"/>
  <c r="M29" i="24" s="1"/>
  <c r="S3" i="24"/>
  <c r="S16" i="24"/>
  <c r="S27" i="24"/>
  <c r="S22" i="24"/>
  <c r="S23" i="24"/>
  <c r="T25" i="24" s="1"/>
  <c r="T29" i="24" s="1"/>
  <c r="S21" i="24"/>
  <c r="R25" i="24" s="1"/>
  <c r="R29" i="24" s="1"/>
  <c r="T31" i="24" s="1"/>
  <c r="T32" i="24" s="1"/>
  <c r="T33" i="24" s="1"/>
  <c r="AE35" i="31" l="1"/>
  <c r="Y12" i="30"/>
  <c r="Y13" i="30"/>
  <c r="Y11" i="30"/>
  <c r="G41" i="31"/>
  <c r="G42" i="31" s="1"/>
  <c r="G43" i="31" s="1"/>
  <c r="T31" i="44"/>
  <c r="T32" i="44" s="1"/>
  <c r="T33" i="44" s="1"/>
  <c r="R29" i="38"/>
  <c r="T31" i="38" s="1"/>
  <c r="T32" i="38" s="1"/>
  <c r="T33" i="38" s="1"/>
  <c r="AE41" i="31"/>
  <c r="AE42" i="31" s="1"/>
  <c r="AE43" i="31" s="1"/>
  <c r="T31" i="50"/>
  <c r="T32" i="50" s="1"/>
  <c r="T33" i="50" s="1"/>
  <c r="T25" i="43"/>
  <c r="T29" i="43" s="1"/>
  <c r="R25" i="43"/>
  <c r="R29" i="43" s="1"/>
  <c r="T31" i="43" s="1"/>
  <c r="T32" i="43" s="1"/>
  <c r="T33" i="43" s="1"/>
  <c r="S25" i="43"/>
  <c r="S29" i="43" s="1"/>
  <c r="R29" i="39"/>
  <c r="T31" i="39" s="1"/>
  <c r="T32" i="39" s="1"/>
  <c r="T33" i="39" s="1"/>
  <c r="T29" i="50"/>
  <c r="AD30" i="28"/>
  <c r="AA30" i="28"/>
  <c r="AC37" i="28"/>
  <c r="AD27" i="28"/>
  <c r="S34" i="28"/>
  <c r="W34" i="28" s="1"/>
  <c r="AA27" i="28"/>
  <c r="AA31" i="28"/>
  <c r="S37" i="28"/>
  <c r="W37" i="28" s="1"/>
  <c r="AA28" i="28"/>
  <c r="S39" i="28"/>
  <c r="W39" i="28" s="1"/>
  <c r="S36" i="28"/>
  <c r="W36" i="28" s="1"/>
  <c r="S38" i="28"/>
  <c r="W38" i="28" s="1"/>
  <c r="S35" i="28"/>
  <c r="W35" i="28" s="1"/>
  <c r="AF26" i="28"/>
  <c r="AC27" i="28"/>
  <c r="AC28" i="28"/>
  <c r="AC31" i="28"/>
  <c r="AC26" i="28"/>
  <c r="AC29" i="28"/>
  <c r="AC30" i="28"/>
  <c r="AC39" i="28"/>
  <c r="AE29" i="28"/>
  <c r="AE27" i="28"/>
  <c r="AC38" i="28"/>
  <c r="AB31" i="28"/>
  <c r="AE30" i="28"/>
  <c r="AE26" i="28"/>
  <c r="AE28" i="28"/>
  <c r="AB26" i="28"/>
  <c r="AC35" i="28"/>
  <c r="AB27" i="28"/>
  <c r="AF31" i="28"/>
  <c r="AF28" i="28"/>
  <c r="AB30" i="28"/>
  <c r="AF27" i="28"/>
  <c r="AF30" i="28"/>
  <c r="AB28" i="28"/>
  <c r="C39" i="28"/>
  <c r="G39" i="28" s="1"/>
  <c r="K38" i="28"/>
  <c r="O38" i="28" s="1"/>
  <c r="K37" i="28"/>
  <c r="O37" i="28" s="1"/>
  <c r="K39" i="28"/>
  <c r="O39" i="28" s="1"/>
  <c r="C34" i="28"/>
  <c r="G34" i="28" s="1"/>
  <c r="C36" i="28"/>
  <c r="G36" i="28" s="1"/>
  <c r="K34" i="28"/>
  <c r="O34" i="28" s="1"/>
  <c r="C35" i="28"/>
  <c r="G35" i="28" s="1"/>
  <c r="C37" i="28"/>
  <c r="G37" i="28" s="1"/>
  <c r="K35" i="28"/>
  <c r="O35" i="28" s="1"/>
  <c r="C38" i="28"/>
  <c r="G38" i="28" s="1"/>
  <c r="K36" i="28"/>
  <c r="O36" i="28" s="1"/>
  <c r="K39" i="27"/>
  <c r="O39" i="27" s="1"/>
  <c r="S35" i="27"/>
  <c r="W35" i="27" s="1"/>
  <c r="W41" i="27" s="1"/>
  <c r="W42" i="27" s="1"/>
  <c r="W43" i="27" s="1"/>
  <c r="K34" i="27"/>
  <c r="O34" i="27" s="1"/>
  <c r="K35" i="27"/>
  <c r="O35" i="27" s="1"/>
  <c r="K36" i="27"/>
  <c r="O36" i="27" s="1"/>
  <c r="S38" i="27"/>
  <c r="W38" i="27" s="1"/>
  <c r="S36" i="27"/>
  <c r="W36" i="27" s="1"/>
  <c r="K37" i="27"/>
  <c r="O37" i="27" s="1"/>
  <c r="S39" i="27"/>
  <c r="W39" i="27" s="1"/>
  <c r="G41" i="27"/>
  <c r="G42" i="27" s="1"/>
  <c r="G43" i="27" s="1"/>
  <c r="S37" i="27"/>
  <c r="W37" i="27" s="1"/>
  <c r="K38" i="27"/>
  <c r="O38" i="27" s="1"/>
  <c r="M29" i="26"/>
  <c r="O31" i="26" s="1"/>
  <c r="O32" i="26" s="1"/>
  <c r="T27" i="26"/>
  <c r="T23" i="26"/>
  <c r="T22" i="26"/>
  <c r="S25" i="26" s="1"/>
  <c r="S29" i="26" s="1"/>
  <c r="T21" i="26"/>
  <c r="R25" i="26" s="1"/>
  <c r="R29" i="26" s="1"/>
  <c r="T31" i="26" s="1"/>
  <c r="T32" i="26" s="1"/>
  <c r="T33" i="26" s="1"/>
  <c r="T25" i="26"/>
  <c r="T29" i="26" s="1"/>
  <c r="R25" i="25"/>
  <c r="R29" i="25" s="1"/>
  <c r="T31" i="25" s="1"/>
  <c r="T32" i="25" s="1"/>
  <c r="T33" i="25" s="1"/>
  <c r="O31" i="24"/>
  <c r="O32" i="24" s="1"/>
  <c r="W41" i="28" l="1"/>
  <c r="W42" i="28" s="1"/>
  <c r="W43" i="28" s="1"/>
  <c r="AA37" i="28"/>
  <c r="AE37" i="28" s="1"/>
  <c r="AA39" i="28"/>
  <c r="AE39" i="28" s="1"/>
  <c r="O41" i="28"/>
  <c r="O42" i="28" s="1"/>
  <c r="O43" i="28" s="1"/>
  <c r="AA36" i="28"/>
  <c r="AE36" i="28" s="1"/>
  <c r="AA34" i="28"/>
  <c r="AE34" i="28" s="1"/>
  <c r="AA38" i="28"/>
  <c r="AE38" i="28" s="1"/>
  <c r="AA35" i="28"/>
  <c r="AE35" i="28" s="1"/>
  <c r="G41" i="28"/>
  <c r="G42" i="28" s="1"/>
  <c r="G43" i="28" s="1"/>
  <c r="O41" i="27"/>
  <c r="O42" i="27" s="1"/>
  <c r="O43" i="27" s="1"/>
  <c r="G29" i="1"/>
  <c r="G28" i="1"/>
  <c r="G27" i="1"/>
  <c r="D17" i="23"/>
  <c r="D16" i="23"/>
  <c r="D15" i="23"/>
  <c r="H13" i="23"/>
  <c r="J17" i="23" s="1"/>
  <c r="C13" i="23"/>
  <c r="H11" i="23"/>
  <c r="J15" i="23" s="1"/>
  <c r="C11" i="23"/>
  <c r="N8" i="23"/>
  <c r="N13" i="23" s="1"/>
  <c r="M8" i="23"/>
  <c r="M13" i="23" s="1"/>
  <c r="J8" i="23"/>
  <c r="J13" i="23" s="1"/>
  <c r="I8" i="23"/>
  <c r="I13" i="23" s="1"/>
  <c r="H8" i="23"/>
  <c r="H12" i="23" s="1"/>
  <c r="C8" i="23"/>
  <c r="C12" i="23" s="1"/>
  <c r="T6" i="23"/>
  <c r="S6" i="23"/>
  <c r="R6" i="23"/>
  <c r="G6" i="23"/>
  <c r="L6" i="23" s="1"/>
  <c r="S5" i="23"/>
  <c r="R5" i="23"/>
  <c r="O5" i="23"/>
  <c r="L5" i="23"/>
  <c r="N3" i="23" s="1"/>
  <c r="J5" i="23"/>
  <c r="G5" i="23"/>
  <c r="I16" i="23" s="1"/>
  <c r="E5" i="23"/>
  <c r="R4" i="23"/>
  <c r="O4" i="23"/>
  <c r="N4" i="23"/>
  <c r="N11" i="23" s="1"/>
  <c r="J4" i="23"/>
  <c r="J11" i="23" s="1"/>
  <c r="I4" i="23"/>
  <c r="I11" i="23" s="1"/>
  <c r="G4" i="23"/>
  <c r="I15" i="23" s="1"/>
  <c r="E4" i="23"/>
  <c r="D4" i="23"/>
  <c r="D8" i="23" s="1"/>
  <c r="J3" i="23"/>
  <c r="I3" i="23"/>
  <c r="H3" i="23"/>
  <c r="E3" i="23"/>
  <c r="D3" i="23"/>
  <c r="C3" i="23"/>
  <c r="H29" i="1"/>
  <c r="H28" i="1"/>
  <c r="H27" i="1"/>
  <c r="D17" i="22"/>
  <c r="D16" i="22"/>
  <c r="D15" i="22"/>
  <c r="I13" i="22"/>
  <c r="D13" i="22"/>
  <c r="I11" i="22"/>
  <c r="D11" i="22"/>
  <c r="O8" i="22"/>
  <c r="O12" i="22" s="1"/>
  <c r="N8" i="22"/>
  <c r="N13" i="22" s="1"/>
  <c r="M8" i="22"/>
  <c r="M12" i="22" s="1"/>
  <c r="J8" i="22"/>
  <c r="J13" i="22" s="1"/>
  <c r="I8" i="22"/>
  <c r="I12" i="22" s="1"/>
  <c r="D8" i="22"/>
  <c r="D12" i="22" s="1"/>
  <c r="T6" i="22"/>
  <c r="S6" i="22"/>
  <c r="R6" i="22"/>
  <c r="M6" i="22"/>
  <c r="H6" i="22"/>
  <c r="G6" i="22"/>
  <c r="I17" i="22" s="1"/>
  <c r="C6" i="22"/>
  <c r="C8" i="22" s="1"/>
  <c r="T5" i="22"/>
  <c r="S5" i="22"/>
  <c r="O5" i="22"/>
  <c r="M5" i="22"/>
  <c r="J5" i="22"/>
  <c r="H5" i="22"/>
  <c r="G5" i="22"/>
  <c r="L5" i="22" s="1"/>
  <c r="E5" i="22"/>
  <c r="C5" i="22"/>
  <c r="T4" i="22"/>
  <c r="S4" i="22"/>
  <c r="R4" i="22"/>
  <c r="G4" i="22"/>
  <c r="I15" i="22" s="1"/>
  <c r="J3" i="22"/>
  <c r="O29" i="1"/>
  <c r="O28" i="1"/>
  <c r="O27" i="1"/>
  <c r="N17" i="21"/>
  <c r="D17" i="21"/>
  <c r="D16" i="21"/>
  <c r="D15" i="21"/>
  <c r="R8" i="21"/>
  <c r="R11" i="21" s="1"/>
  <c r="M8" i="21"/>
  <c r="M13" i="21" s="1"/>
  <c r="J8" i="21"/>
  <c r="J13" i="21" s="1"/>
  <c r="H8" i="21"/>
  <c r="H12" i="21" s="1"/>
  <c r="C8" i="21"/>
  <c r="C12" i="21" s="1"/>
  <c r="T6" i="21"/>
  <c r="S6" i="21"/>
  <c r="R6" i="21"/>
  <c r="Q6" i="21"/>
  <c r="S17" i="21" s="1"/>
  <c r="L6" i="21"/>
  <c r="G6" i="21"/>
  <c r="I17" i="21" s="1"/>
  <c r="S5" i="21"/>
  <c r="R5" i="21"/>
  <c r="R12" i="21" s="1"/>
  <c r="O5" i="21"/>
  <c r="L5" i="21"/>
  <c r="Q5" i="21" s="1"/>
  <c r="J5" i="21"/>
  <c r="G5" i="21"/>
  <c r="I16" i="21" s="1"/>
  <c r="E5" i="21"/>
  <c r="T4" i="21"/>
  <c r="R4" i="21"/>
  <c r="O4" i="21"/>
  <c r="N4" i="21"/>
  <c r="J4" i="21"/>
  <c r="J11" i="21" s="1"/>
  <c r="I4" i="21"/>
  <c r="G4" i="21"/>
  <c r="I15" i="21" s="1"/>
  <c r="E4" i="21"/>
  <c r="D4" i="21"/>
  <c r="D8" i="21" s="1"/>
  <c r="T3" i="21"/>
  <c r="O3" i="21"/>
  <c r="N3" i="21"/>
  <c r="J3" i="21"/>
  <c r="I3" i="21"/>
  <c r="H3" i="21"/>
  <c r="AE41" i="28" l="1"/>
  <c r="AE42" i="28" s="1"/>
  <c r="AE43" i="28" s="1"/>
  <c r="D12" i="23"/>
  <c r="D13" i="23"/>
  <c r="J22" i="23"/>
  <c r="J23" i="23"/>
  <c r="J21" i="23"/>
  <c r="J27" i="23"/>
  <c r="H27" i="23"/>
  <c r="H23" i="23"/>
  <c r="H21" i="23"/>
  <c r="H22" i="23"/>
  <c r="O3" i="23"/>
  <c r="N17" i="23"/>
  <c r="Q6" i="23"/>
  <c r="I12" i="23"/>
  <c r="J16" i="23" s="1"/>
  <c r="N16" i="23"/>
  <c r="D11" i="23"/>
  <c r="J12" i="23"/>
  <c r="N12" i="23"/>
  <c r="T5" i="23"/>
  <c r="R8" i="23"/>
  <c r="R11" i="23" s="1"/>
  <c r="Q5" i="23"/>
  <c r="M12" i="23"/>
  <c r="S4" i="23"/>
  <c r="T4" i="23"/>
  <c r="O8" i="23"/>
  <c r="O13" i="23" s="1"/>
  <c r="O17" i="23" s="1"/>
  <c r="L4" i="23"/>
  <c r="E8" i="23"/>
  <c r="M11" i="23"/>
  <c r="I17" i="23"/>
  <c r="C12" i="22"/>
  <c r="C11" i="22"/>
  <c r="Q5" i="22"/>
  <c r="N3" i="22"/>
  <c r="N16" i="22"/>
  <c r="H12" i="22"/>
  <c r="J16" i="22" s="1"/>
  <c r="H3" i="22"/>
  <c r="R5" i="22"/>
  <c r="O11" i="22"/>
  <c r="C13" i="22"/>
  <c r="O13" i="22"/>
  <c r="J12" i="22"/>
  <c r="J11" i="22"/>
  <c r="I3" i="22"/>
  <c r="L4" i="22"/>
  <c r="N12" i="22"/>
  <c r="O16" i="22" s="1"/>
  <c r="L6" i="22"/>
  <c r="E8" i="22"/>
  <c r="S8" i="22"/>
  <c r="S11" i="22" s="1"/>
  <c r="M11" i="22"/>
  <c r="M13" i="22"/>
  <c r="O17" i="22" s="1"/>
  <c r="I16" i="22"/>
  <c r="H8" i="22"/>
  <c r="T8" i="22"/>
  <c r="T11" i="22" s="1"/>
  <c r="N11" i="22"/>
  <c r="D12" i="21"/>
  <c r="D13" i="21"/>
  <c r="S3" i="21"/>
  <c r="S16" i="21"/>
  <c r="I8" i="21"/>
  <c r="I11" i="21" s="1"/>
  <c r="C11" i="21"/>
  <c r="C13" i="21"/>
  <c r="N16" i="21"/>
  <c r="D11" i="21"/>
  <c r="J12" i="21"/>
  <c r="R13" i="21"/>
  <c r="M12" i="21"/>
  <c r="S4" i="21"/>
  <c r="N8" i="21"/>
  <c r="H11" i="21"/>
  <c r="H13" i="21"/>
  <c r="T5" i="21"/>
  <c r="L4" i="21"/>
  <c r="E8" i="21"/>
  <c r="E13" i="21" s="1"/>
  <c r="M11" i="21"/>
  <c r="O8" i="21"/>
  <c r="O13" i="21" s="1"/>
  <c r="I22" i="23" l="1"/>
  <c r="I21" i="23"/>
  <c r="I23" i="23"/>
  <c r="J25" i="23" s="1"/>
  <c r="J29" i="23" s="1"/>
  <c r="I27" i="23"/>
  <c r="O27" i="23"/>
  <c r="O23" i="23"/>
  <c r="O21" i="23"/>
  <c r="O22" i="23"/>
  <c r="E13" i="23"/>
  <c r="E17" i="23" s="1"/>
  <c r="E11" i="23"/>
  <c r="E15" i="23" s="1"/>
  <c r="M3" i="23"/>
  <c r="N15" i="23"/>
  <c r="Q4" i="23"/>
  <c r="T15" i="23"/>
  <c r="O12" i="23"/>
  <c r="O16" i="23" s="1"/>
  <c r="O11" i="23"/>
  <c r="T8" i="23"/>
  <c r="T13" i="23" s="1"/>
  <c r="T11" i="23"/>
  <c r="I25" i="23"/>
  <c r="I29" i="23" s="1"/>
  <c r="E12" i="23"/>
  <c r="E16" i="23" s="1"/>
  <c r="S8" i="23"/>
  <c r="S11" i="23"/>
  <c r="H25" i="23"/>
  <c r="H29" i="23" s="1"/>
  <c r="R12" i="23"/>
  <c r="R13" i="23"/>
  <c r="S17" i="23"/>
  <c r="T3" i="23"/>
  <c r="O15" i="23"/>
  <c r="S3" i="23"/>
  <c r="S16" i="23"/>
  <c r="N22" i="22"/>
  <c r="N27" i="22"/>
  <c r="N23" i="22"/>
  <c r="N21" i="22"/>
  <c r="E13" i="22"/>
  <c r="E17" i="22" s="1"/>
  <c r="E11" i="22"/>
  <c r="R12" i="22"/>
  <c r="T16" i="22" s="1"/>
  <c r="S12" i="22"/>
  <c r="T13" i="22"/>
  <c r="S3" i="22"/>
  <c r="S16" i="22"/>
  <c r="S13" i="22"/>
  <c r="E15" i="22"/>
  <c r="I22" i="22"/>
  <c r="I27" i="22"/>
  <c r="I23" i="22"/>
  <c r="I21" i="22"/>
  <c r="O3" i="22"/>
  <c r="N17" i="22"/>
  <c r="Q6" i="22"/>
  <c r="R8" i="22"/>
  <c r="H11" i="22"/>
  <c r="J15" i="22" s="1"/>
  <c r="H13" i="22"/>
  <c r="J17" i="22" s="1"/>
  <c r="O23" i="22"/>
  <c r="O21" i="22"/>
  <c r="O27" i="22"/>
  <c r="O22" i="22"/>
  <c r="E12" i="22"/>
  <c r="E16" i="22" s="1"/>
  <c r="O15" i="22"/>
  <c r="Q4" i="22"/>
  <c r="N15" i="22"/>
  <c r="M3" i="22"/>
  <c r="T12" i="22"/>
  <c r="N13" i="21"/>
  <c r="O17" i="21" s="1"/>
  <c r="N12" i="21"/>
  <c r="E12" i="21"/>
  <c r="E16" i="21" s="1"/>
  <c r="I13" i="21"/>
  <c r="J17" i="21" s="1"/>
  <c r="I12" i="21"/>
  <c r="J16" i="21" s="1"/>
  <c r="M3" i="21"/>
  <c r="Q4" i="21"/>
  <c r="N15" i="21"/>
  <c r="E17" i="21"/>
  <c r="O12" i="21"/>
  <c r="O16" i="21" s="1"/>
  <c r="J15" i="21"/>
  <c r="S8" i="21"/>
  <c r="S11" i="21"/>
  <c r="T8" i="21"/>
  <c r="E11" i="21"/>
  <c r="E15" i="21" s="1"/>
  <c r="O11" i="21"/>
  <c r="N11" i="21"/>
  <c r="O15" i="21" s="1"/>
  <c r="N22" i="23" l="1"/>
  <c r="N23" i="23"/>
  <c r="N21" i="23"/>
  <c r="N27" i="23"/>
  <c r="D27" i="23"/>
  <c r="D23" i="23"/>
  <c r="D22" i="23"/>
  <c r="D21" i="23"/>
  <c r="R3" i="23"/>
  <c r="S15" i="23"/>
  <c r="T12" i="23"/>
  <c r="J31" i="23"/>
  <c r="J32" i="23" s="1"/>
  <c r="J33" i="23" s="1"/>
  <c r="R22" i="23"/>
  <c r="R27" i="23"/>
  <c r="R23" i="23"/>
  <c r="R21" i="23"/>
  <c r="M22" i="23"/>
  <c r="N25" i="23" s="1"/>
  <c r="M27" i="23"/>
  <c r="M23" i="23"/>
  <c r="O25" i="23" s="1"/>
  <c r="O29" i="23" s="1"/>
  <c r="M21" i="23"/>
  <c r="M25" i="23" s="1"/>
  <c r="M29" i="23" s="1"/>
  <c r="C27" i="23"/>
  <c r="C23" i="23"/>
  <c r="C21" i="23"/>
  <c r="C22" i="23"/>
  <c r="S12" i="23"/>
  <c r="T16" i="23" s="1"/>
  <c r="S13" i="23"/>
  <c r="T17" i="23" s="1"/>
  <c r="E27" i="23"/>
  <c r="E23" i="23"/>
  <c r="E22" i="23"/>
  <c r="E21" i="23"/>
  <c r="E22" i="22"/>
  <c r="E27" i="22"/>
  <c r="E23" i="22"/>
  <c r="E21" i="22"/>
  <c r="D27" i="22"/>
  <c r="D23" i="22"/>
  <c r="D21" i="22"/>
  <c r="D22" i="22"/>
  <c r="R3" i="22"/>
  <c r="S15" i="22"/>
  <c r="J23" i="22"/>
  <c r="J21" i="22"/>
  <c r="J27" i="22"/>
  <c r="J22" i="22"/>
  <c r="M27" i="22"/>
  <c r="M21" i="22"/>
  <c r="M25" i="22" s="1"/>
  <c r="M23" i="22"/>
  <c r="O25" i="22" s="1"/>
  <c r="O29" i="22" s="1"/>
  <c r="M22" i="22"/>
  <c r="N25" i="22" s="1"/>
  <c r="N29" i="22" s="1"/>
  <c r="C27" i="22"/>
  <c r="C21" i="22"/>
  <c r="C22" i="22"/>
  <c r="D25" i="22" s="1"/>
  <c r="D29" i="22" s="1"/>
  <c r="C23" i="22"/>
  <c r="E25" i="22" s="1"/>
  <c r="E29" i="22" s="1"/>
  <c r="H27" i="22"/>
  <c r="H21" i="22"/>
  <c r="H23" i="22"/>
  <c r="J25" i="22" s="1"/>
  <c r="H22" i="22"/>
  <c r="R11" i="22"/>
  <c r="T15" i="22" s="1"/>
  <c r="R13" i="22"/>
  <c r="T17" i="22" s="1"/>
  <c r="S27" i="22"/>
  <c r="S22" i="22"/>
  <c r="S21" i="22"/>
  <c r="S23" i="22"/>
  <c r="S17" i="22"/>
  <c r="T3" i="22"/>
  <c r="N22" i="21"/>
  <c r="N27" i="21"/>
  <c r="N23" i="21"/>
  <c r="N21" i="21"/>
  <c r="C21" i="21"/>
  <c r="C27" i="21"/>
  <c r="C23" i="21"/>
  <c r="E25" i="21" s="1"/>
  <c r="E29" i="21" s="1"/>
  <c r="C22" i="21"/>
  <c r="J23" i="21"/>
  <c r="J21" i="21"/>
  <c r="J27" i="21"/>
  <c r="J22" i="21"/>
  <c r="M22" i="21"/>
  <c r="M27" i="21"/>
  <c r="M23" i="21"/>
  <c r="O25" i="21" s="1"/>
  <c r="O29" i="21" s="1"/>
  <c r="M21" i="21"/>
  <c r="T13" i="21"/>
  <c r="T11" i="21"/>
  <c r="T12" i="21"/>
  <c r="I22" i="21"/>
  <c r="I27" i="21"/>
  <c r="I23" i="21"/>
  <c r="I21" i="21"/>
  <c r="D27" i="21"/>
  <c r="D23" i="21"/>
  <c r="D22" i="21"/>
  <c r="D21" i="21"/>
  <c r="E27" i="21"/>
  <c r="E23" i="21"/>
  <c r="E22" i="21"/>
  <c r="E21" i="21"/>
  <c r="T15" i="21"/>
  <c r="R3" i="21"/>
  <c r="S15" i="21"/>
  <c r="O27" i="21"/>
  <c r="O23" i="21"/>
  <c r="O21" i="21"/>
  <c r="O22" i="21"/>
  <c r="H27" i="21"/>
  <c r="H23" i="21"/>
  <c r="H21" i="21"/>
  <c r="H22" i="21"/>
  <c r="S12" i="21"/>
  <c r="T16" i="21" s="1"/>
  <c r="S13" i="21"/>
  <c r="T17" i="21" s="1"/>
  <c r="T27" i="23" l="1"/>
  <c r="T23" i="23"/>
  <c r="T22" i="23"/>
  <c r="T21" i="23"/>
  <c r="S27" i="23"/>
  <c r="S22" i="23"/>
  <c r="S25" i="23" s="1"/>
  <c r="S29" i="23" s="1"/>
  <c r="S23" i="23"/>
  <c r="T25" i="23" s="1"/>
  <c r="T29" i="23" s="1"/>
  <c r="S21" i="23"/>
  <c r="E25" i="23"/>
  <c r="E29" i="23" s="1"/>
  <c r="N29" i="23"/>
  <c r="O31" i="23" s="1"/>
  <c r="O32" i="23" s="1"/>
  <c r="O33" i="23" s="1"/>
  <c r="D25" i="23"/>
  <c r="D29" i="23" s="1"/>
  <c r="R25" i="23"/>
  <c r="R29" i="23" s="1"/>
  <c r="C25" i="23"/>
  <c r="C29" i="23" s="1"/>
  <c r="E31" i="23" s="1"/>
  <c r="E32" i="23" s="1"/>
  <c r="E33" i="23" s="1"/>
  <c r="H25" i="22"/>
  <c r="H29" i="22" s="1"/>
  <c r="M29" i="22"/>
  <c r="O31" i="22" s="1"/>
  <c r="O32" i="22" s="1"/>
  <c r="O33" i="22" s="1"/>
  <c r="T27" i="22"/>
  <c r="T23" i="22"/>
  <c r="T22" i="22"/>
  <c r="T21" i="22"/>
  <c r="C25" i="22"/>
  <c r="C29" i="22" s="1"/>
  <c r="E31" i="22" s="1"/>
  <c r="E32" i="22" s="1"/>
  <c r="E33" i="22" s="1"/>
  <c r="R27" i="22"/>
  <c r="R21" i="22"/>
  <c r="R23" i="22"/>
  <c r="R22" i="22"/>
  <c r="I25" i="22"/>
  <c r="I29" i="22" s="1"/>
  <c r="J29" i="22"/>
  <c r="C25" i="21"/>
  <c r="C29" i="21" s="1"/>
  <c r="J25" i="21"/>
  <c r="J29" i="21" s="1"/>
  <c r="R27" i="21"/>
  <c r="R22" i="21"/>
  <c r="R21" i="21"/>
  <c r="R25" i="21" s="1"/>
  <c r="R29" i="21" s="1"/>
  <c r="R23" i="21"/>
  <c r="T25" i="21" s="1"/>
  <c r="M25" i="21"/>
  <c r="M29" i="21" s="1"/>
  <c r="O31" i="21" s="1"/>
  <c r="O32" i="21" s="1"/>
  <c r="D25" i="21"/>
  <c r="D29" i="21" s="1"/>
  <c r="N25" i="21"/>
  <c r="N29" i="21" s="1"/>
  <c r="S27" i="21"/>
  <c r="S23" i="21"/>
  <c r="S22" i="21"/>
  <c r="S21" i="21"/>
  <c r="I25" i="21"/>
  <c r="I29" i="21" s="1"/>
  <c r="T27" i="21"/>
  <c r="T23" i="21"/>
  <c r="T21" i="21"/>
  <c r="T22" i="21"/>
  <c r="H25" i="21"/>
  <c r="H29" i="21" s="1"/>
  <c r="T31" i="23" l="1"/>
  <c r="T32" i="23" s="1"/>
  <c r="T33" i="23" s="1"/>
  <c r="S25" i="22"/>
  <c r="S29" i="22" s="1"/>
  <c r="T25" i="22"/>
  <c r="T29" i="22" s="1"/>
  <c r="R25" i="22"/>
  <c r="R29" i="22" s="1"/>
  <c r="T31" i="22" s="1"/>
  <c r="T32" i="22" s="1"/>
  <c r="T33" i="22" s="1"/>
  <c r="J31" i="22"/>
  <c r="J32" i="22" s="1"/>
  <c r="J33" i="22" s="1"/>
  <c r="T29" i="21"/>
  <c r="J31" i="21"/>
  <c r="J32" i="21" s="1"/>
  <c r="J33" i="21" s="1"/>
  <c r="S25" i="21"/>
  <c r="S29" i="21" s="1"/>
  <c r="T31" i="21" s="1"/>
  <c r="T32" i="21" s="1"/>
  <c r="T33" i="21" s="1"/>
  <c r="E31" i="21"/>
  <c r="E32" i="21" s="1"/>
  <c r="E33" i="21" s="1"/>
  <c r="L29" i="1" l="1"/>
  <c r="L28" i="1"/>
  <c r="L27" i="1"/>
  <c r="D17" i="20"/>
  <c r="D16" i="20"/>
  <c r="D15" i="20"/>
  <c r="E13" i="20"/>
  <c r="E11" i="20"/>
  <c r="O8" i="20"/>
  <c r="O12" i="20" s="1"/>
  <c r="N8" i="20"/>
  <c r="N11" i="20" s="1"/>
  <c r="M8" i="20"/>
  <c r="M11" i="20" s="1"/>
  <c r="J8" i="20"/>
  <c r="J13" i="20" s="1"/>
  <c r="E8" i="20"/>
  <c r="E12" i="20" s="1"/>
  <c r="T6" i="20"/>
  <c r="S6" i="20"/>
  <c r="N6" i="20"/>
  <c r="N13" i="20" s="1"/>
  <c r="M6" i="20"/>
  <c r="M13" i="20" s="1"/>
  <c r="I6" i="20"/>
  <c r="H6" i="20"/>
  <c r="G6" i="20"/>
  <c r="I17" i="20" s="1"/>
  <c r="D6" i="20"/>
  <c r="C6" i="20"/>
  <c r="T5" i="20"/>
  <c r="S5" i="20"/>
  <c r="M5" i="20"/>
  <c r="L5" i="20"/>
  <c r="Q5" i="20" s="1"/>
  <c r="H5" i="20"/>
  <c r="G5" i="20"/>
  <c r="I16" i="20" s="1"/>
  <c r="C5" i="20"/>
  <c r="R5" i="20" s="1"/>
  <c r="T4" i="20"/>
  <c r="S4" i="20"/>
  <c r="R4" i="20"/>
  <c r="L4" i="20"/>
  <c r="M3" i="20" s="1"/>
  <c r="G4" i="20"/>
  <c r="I15" i="20" s="1"/>
  <c r="H3" i="20"/>
  <c r="E3" i="20"/>
  <c r="D3" i="20"/>
  <c r="C3" i="20"/>
  <c r="D17" i="19"/>
  <c r="D16" i="19"/>
  <c r="D15" i="19"/>
  <c r="O13" i="19"/>
  <c r="H13" i="19"/>
  <c r="O11" i="19"/>
  <c r="H11" i="19"/>
  <c r="O8" i="19"/>
  <c r="O12" i="19" s="1"/>
  <c r="N8" i="19"/>
  <c r="N13" i="19" s="1"/>
  <c r="I8" i="19"/>
  <c r="I11" i="19" s="1"/>
  <c r="H8" i="19"/>
  <c r="H12" i="19" s="1"/>
  <c r="D8" i="19"/>
  <c r="D12" i="19" s="1"/>
  <c r="T6" i="19"/>
  <c r="S6" i="19"/>
  <c r="M6" i="19"/>
  <c r="H6" i="19"/>
  <c r="G6" i="19"/>
  <c r="I17" i="19" s="1"/>
  <c r="C8" i="19"/>
  <c r="S5" i="19"/>
  <c r="R5" i="19"/>
  <c r="O5" i="19"/>
  <c r="M5" i="19"/>
  <c r="J5" i="19"/>
  <c r="H5" i="19"/>
  <c r="G5" i="19"/>
  <c r="L5" i="19" s="1"/>
  <c r="T4" i="19"/>
  <c r="S4" i="19"/>
  <c r="R4" i="19"/>
  <c r="G4" i="19"/>
  <c r="I15" i="19" s="1"/>
  <c r="I3" i="19"/>
  <c r="H3" i="19"/>
  <c r="E3" i="19"/>
  <c r="D3" i="19"/>
  <c r="C3" i="19"/>
  <c r="N29" i="1"/>
  <c r="N28" i="1"/>
  <c r="N27" i="1"/>
  <c r="M29" i="1"/>
  <c r="M28" i="1"/>
  <c r="M27" i="1"/>
  <c r="E29" i="1"/>
  <c r="E28" i="1"/>
  <c r="E27" i="1"/>
  <c r="D29" i="1"/>
  <c r="D28" i="1"/>
  <c r="D27" i="1"/>
  <c r="P26" i="1"/>
  <c r="O26" i="1"/>
  <c r="N26" i="1"/>
  <c r="M26" i="1"/>
  <c r="L26" i="1"/>
  <c r="K26" i="1"/>
  <c r="J26" i="1"/>
  <c r="I26" i="1"/>
  <c r="H26" i="1"/>
  <c r="G26" i="1"/>
  <c r="F26" i="1"/>
  <c r="E26" i="1"/>
  <c r="D13" i="19" l="1"/>
  <c r="D11" i="19"/>
  <c r="O15" i="20"/>
  <c r="M22" i="20" s="1"/>
  <c r="S3" i="20"/>
  <c r="S16" i="20"/>
  <c r="I13" i="20"/>
  <c r="J3" i="20"/>
  <c r="S13" i="20"/>
  <c r="Q4" i="20"/>
  <c r="N12" i="20"/>
  <c r="I8" i="20"/>
  <c r="O11" i="20"/>
  <c r="O13" i="20"/>
  <c r="O17" i="20" s="1"/>
  <c r="N15" i="20"/>
  <c r="N16" i="20"/>
  <c r="I3" i="20"/>
  <c r="R6" i="20"/>
  <c r="J12" i="20"/>
  <c r="M12" i="20"/>
  <c r="O16" i="20" s="1"/>
  <c r="L6" i="20"/>
  <c r="D8" i="20"/>
  <c r="J11" i="20"/>
  <c r="C8" i="20"/>
  <c r="S8" i="20"/>
  <c r="S11" i="20" s="1"/>
  <c r="N3" i="20"/>
  <c r="H8" i="20"/>
  <c r="H11" i="20" s="1"/>
  <c r="T8" i="20"/>
  <c r="T11" i="20" s="1"/>
  <c r="C12" i="19"/>
  <c r="C11" i="19"/>
  <c r="C13" i="19"/>
  <c r="Q5" i="19"/>
  <c r="N3" i="19"/>
  <c r="N16" i="19"/>
  <c r="R6" i="19"/>
  <c r="R8" i="19" s="1"/>
  <c r="R11" i="19" s="1"/>
  <c r="J8" i="19"/>
  <c r="J12" i="19"/>
  <c r="J16" i="19" s="1"/>
  <c r="J3" i="19"/>
  <c r="L4" i="19"/>
  <c r="T5" i="19"/>
  <c r="M8" i="19"/>
  <c r="M11" i="19" s="1"/>
  <c r="M12" i="19"/>
  <c r="O16" i="19" s="1"/>
  <c r="N12" i="19"/>
  <c r="I13" i="19"/>
  <c r="L6" i="19"/>
  <c r="E8" i="19"/>
  <c r="S8" i="19"/>
  <c r="S12" i="19" s="1"/>
  <c r="I16" i="19"/>
  <c r="I12" i="19"/>
  <c r="N11" i="19"/>
  <c r="S13" i="19" l="1"/>
  <c r="S11" i="19"/>
  <c r="O27" i="20"/>
  <c r="O23" i="20"/>
  <c r="O21" i="20"/>
  <c r="O22" i="20"/>
  <c r="J15" i="20"/>
  <c r="R13" i="20"/>
  <c r="T17" i="20" s="1"/>
  <c r="I11" i="20"/>
  <c r="I12" i="20"/>
  <c r="R8" i="20"/>
  <c r="D12" i="20"/>
  <c r="D11" i="20"/>
  <c r="D13" i="20"/>
  <c r="S12" i="20"/>
  <c r="M27" i="20"/>
  <c r="M23" i="20"/>
  <c r="M21" i="20"/>
  <c r="H13" i="20"/>
  <c r="J17" i="20" s="1"/>
  <c r="C12" i="20"/>
  <c r="E16" i="20" s="1"/>
  <c r="C11" i="20"/>
  <c r="E15" i="20" s="1"/>
  <c r="C13" i="20"/>
  <c r="E17" i="20" s="1"/>
  <c r="T12" i="20"/>
  <c r="S15" i="20"/>
  <c r="R3" i="20"/>
  <c r="O3" i="20"/>
  <c r="N17" i="20"/>
  <c r="Q6" i="20"/>
  <c r="N22" i="20"/>
  <c r="N25" i="20" s="1"/>
  <c r="N29" i="20" s="1"/>
  <c r="N23" i="20"/>
  <c r="N21" i="20"/>
  <c r="N27" i="20"/>
  <c r="T13" i="20"/>
  <c r="H12" i="20"/>
  <c r="J16" i="20" s="1"/>
  <c r="I22" i="19"/>
  <c r="I21" i="19"/>
  <c r="I23" i="19"/>
  <c r="I27" i="19"/>
  <c r="E13" i="19"/>
  <c r="E17" i="19" s="1"/>
  <c r="E11" i="19"/>
  <c r="E15" i="19" s="1"/>
  <c r="R12" i="19"/>
  <c r="O3" i="19"/>
  <c r="Q6" i="19"/>
  <c r="N17" i="19"/>
  <c r="E12" i="19"/>
  <c r="E16" i="19" s="1"/>
  <c r="N22" i="19"/>
  <c r="N21" i="19"/>
  <c r="N27" i="19"/>
  <c r="N23" i="19"/>
  <c r="O15" i="19"/>
  <c r="M13" i="19"/>
  <c r="O17" i="19" s="1"/>
  <c r="R13" i="19"/>
  <c r="T8" i="19"/>
  <c r="T12" i="19" s="1"/>
  <c r="S3" i="19"/>
  <c r="S16" i="19"/>
  <c r="J13" i="19"/>
  <c r="J17" i="19" s="1"/>
  <c r="J11" i="19"/>
  <c r="J15" i="19" s="1"/>
  <c r="Q4" i="19"/>
  <c r="M3" i="19"/>
  <c r="N15" i="19"/>
  <c r="T27" i="20" l="1"/>
  <c r="T22" i="20"/>
  <c r="T21" i="20"/>
  <c r="T23" i="20"/>
  <c r="H27" i="20"/>
  <c r="H21" i="20"/>
  <c r="H25" i="20" s="1"/>
  <c r="H29" i="20" s="1"/>
  <c r="H22" i="20"/>
  <c r="H23" i="20"/>
  <c r="J25" i="20" s="1"/>
  <c r="S17" i="20"/>
  <c r="T3" i="20"/>
  <c r="D27" i="20"/>
  <c r="D21" i="20"/>
  <c r="D22" i="20"/>
  <c r="D23" i="20"/>
  <c r="J22" i="20"/>
  <c r="J27" i="20"/>
  <c r="J23" i="20"/>
  <c r="J21" i="20"/>
  <c r="R11" i="20"/>
  <c r="T15" i="20" s="1"/>
  <c r="R12" i="20"/>
  <c r="T16" i="20" s="1"/>
  <c r="C27" i="20"/>
  <c r="C21" i="20"/>
  <c r="C25" i="20" s="1"/>
  <c r="C29" i="20" s="1"/>
  <c r="C22" i="20"/>
  <c r="C23" i="20"/>
  <c r="I22" i="20"/>
  <c r="I27" i="20"/>
  <c r="I21" i="20"/>
  <c r="I23" i="20"/>
  <c r="M25" i="20"/>
  <c r="M29" i="20" s="1"/>
  <c r="O31" i="20" s="1"/>
  <c r="O32" i="20" s="1"/>
  <c r="O33" i="20" s="1"/>
  <c r="E22" i="20"/>
  <c r="E27" i="20"/>
  <c r="E23" i="20"/>
  <c r="E21" i="20"/>
  <c r="O25" i="20"/>
  <c r="O29" i="20" s="1"/>
  <c r="E27" i="19"/>
  <c r="E23" i="19"/>
  <c r="E21" i="19"/>
  <c r="E22" i="19"/>
  <c r="J27" i="19"/>
  <c r="J23" i="19"/>
  <c r="J21" i="19"/>
  <c r="J22" i="19"/>
  <c r="C27" i="19"/>
  <c r="C21" i="19"/>
  <c r="C22" i="19"/>
  <c r="C23" i="19"/>
  <c r="D27" i="19"/>
  <c r="D23" i="19"/>
  <c r="D21" i="19"/>
  <c r="D22" i="19"/>
  <c r="T11" i="19"/>
  <c r="T15" i="19" s="1"/>
  <c r="K27" i="1" s="1"/>
  <c r="T13" i="19"/>
  <c r="T17" i="19" s="1"/>
  <c r="K29" i="1" s="1"/>
  <c r="T16" i="19"/>
  <c r="K28" i="1" s="1"/>
  <c r="M27" i="19"/>
  <c r="M21" i="19"/>
  <c r="M25" i="19" s="1"/>
  <c r="M29" i="19" s="1"/>
  <c r="M23" i="19"/>
  <c r="O25" i="19" s="1"/>
  <c r="O29" i="19" s="1"/>
  <c r="M22" i="19"/>
  <c r="N25" i="19" s="1"/>
  <c r="N29" i="19" s="1"/>
  <c r="T3" i="19"/>
  <c r="S17" i="19"/>
  <c r="H27" i="19"/>
  <c r="H23" i="19"/>
  <c r="H21" i="19"/>
  <c r="H22" i="19"/>
  <c r="I25" i="19" s="1"/>
  <c r="I29" i="19" s="1"/>
  <c r="R3" i="19"/>
  <c r="S15" i="19"/>
  <c r="O27" i="19"/>
  <c r="O23" i="19"/>
  <c r="O21" i="19"/>
  <c r="O22" i="19"/>
  <c r="K88" i="1" l="1"/>
  <c r="K68" i="1"/>
  <c r="K38" i="1"/>
  <c r="K48" i="1" s="1"/>
  <c r="K58" i="1"/>
  <c r="K78" i="1"/>
  <c r="K37" i="1"/>
  <c r="K47" i="1" s="1"/>
  <c r="K57" i="1"/>
  <c r="K77" i="1"/>
  <c r="K87" i="1"/>
  <c r="K67" i="1"/>
  <c r="K59" i="1"/>
  <c r="K79" i="1"/>
  <c r="K89" i="1"/>
  <c r="K69" i="1"/>
  <c r="K39" i="1"/>
  <c r="K49" i="1" s="1"/>
  <c r="E25" i="20"/>
  <c r="E29" i="20" s="1"/>
  <c r="J29" i="20"/>
  <c r="D25" i="20"/>
  <c r="D29" i="20" s="1"/>
  <c r="I25" i="20"/>
  <c r="I29" i="20" s="1"/>
  <c r="J31" i="20" s="1"/>
  <c r="J32" i="20" s="1"/>
  <c r="J33" i="20" s="1"/>
  <c r="R27" i="20"/>
  <c r="R22" i="20"/>
  <c r="S25" i="20" s="1"/>
  <c r="S29" i="20" s="1"/>
  <c r="R21" i="20"/>
  <c r="R25" i="20" s="1"/>
  <c r="R29" i="20" s="1"/>
  <c r="R23" i="20"/>
  <c r="T25" i="20" s="1"/>
  <c r="T29" i="20" s="1"/>
  <c r="S27" i="20"/>
  <c r="S22" i="20"/>
  <c r="S21" i="20"/>
  <c r="S23" i="20"/>
  <c r="E31" i="20"/>
  <c r="E32" i="20" s="1"/>
  <c r="E33" i="20" s="1"/>
  <c r="T27" i="19"/>
  <c r="T21" i="19"/>
  <c r="T23" i="19"/>
  <c r="T22" i="19"/>
  <c r="J25" i="19"/>
  <c r="J29" i="19" s="1"/>
  <c r="D25" i="19"/>
  <c r="D29" i="19" s="1"/>
  <c r="O31" i="19"/>
  <c r="O32" i="19" s="1"/>
  <c r="O33" i="19" s="1"/>
  <c r="H25" i="19"/>
  <c r="H29" i="19" s="1"/>
  <c r="E25" i="19"/>
  <c r="E29" i="19" s="1"/>
  <c r="S27" i="19"/>
  <c r="S23" i="19"/>
  <c r="S22" i="19"/>
  <c r="S21" i="19"/>
  <c r="C25" i="19"/>
  <c r="C29" i="19" s="1"/>
  <c r="R27" i="19"/>
  <c r="R21" i="19"/>
  <c r="R22" i="19"/>
  <c r="R23" i="19"/>
  <c r="R25" i="19" l="1"/>
  <c r="R29" i="19" s="1"/>
  <c r="T31" i="20"/>
  <c r="T32" i="20" s="1"/>
  <c r="J31" i="19"/>
  <c r="J32" i="19" s="1"/>
  <c r="J33" i="19" s="1"/>
  <c r="E31" i="19"/>
  <c r="E32" i="19" s="1"/>
  <c r="E33" i="19" s="1"/>
  <c r="T25" i="19"/>
  <c r="T29" i="19" s="1"/>
  <c r="S25" i="19"/>
  <c r="S29" i="19" s="1"/>
  <c r="T31" i="19" s="1"/>
  <c r="T32" i="19" s="1"/>
  <c r="T33" i="19" s="1"/>
  <c r="N6" i="17" l="1"/>
  <c r="M6" i="17"/>
  <c r="I6" i="17"/>
  <c r="H6" i="17"/>
  <c r="D6" i="17"/>
  <c r="C6" i="17"/>
  <c r="C8" i="17" s="1"/>
  <c r="C12" i="17" s="1"/>
  <c r="C5" i="17"/>
  <c r="D17" i="17"/>
  <c r="D16" i="17"/>
  <c r="D15" i="17"/>
  <c r="O8" i="17"/>
  <c r="O12" i="17" s="1"/>
  <c r="N8" i="17"/>
  <c r="N12" i="17" s="1"/>
  <c r="M8" i="17"/>
  <c r="M13" i="17" s="1"/>
  <c r="J8" i="17"/>
  <c r="J13" i="17" s="1"/>
  <c r="I8" i="17"/>
  <c r="I13" i="17" s="1"/>
  <c r="H8" i="17"/>
  <c r="H13" i="17" s="1"/>
  <c r="E8" i="17"/>
  <c r="E12" i="17" s="1"/>
  <c r="D8" i="17"/>
  <c r="D12" i="17" s="1"/>
  <c r="T6" i="17"/>
  <c r="S6" i="17"/>
  <c r="R6" i="17"/>
  <c r="G6" i="17"/>
  <c r="I17" i="17" s="1"/>
  <c r="T5" i="17"/>
  <c r="S5" i="17"/>
  <c r="R5" i="17"/>
  <c r="G5" i="17"/>
  <c r="I16" i="17" s="1"/>
  <c r="T4" i="17"/>
  <c r="S4" i="17"/>
  <c r="R4" i="17"/>
  <c r="G4" i="17"/>
  <c r="I15" i="17" s="1"/>
  <c r="H3" i="17"/>
  <c r="E3" i="17"/>
  <c r="D3" i="17"/>
  <c r="C3" i="17"/>
  <c r="N4" i="16"/>
  <c r="N6" i="16"/>
  <c r="M6" i="16"/>
  <c r="I6" i="16"/>
  <c r="H6" i="16"/>
  <c r="I4" i="16"/>
  <c r="D6" i="16"/>
  <c r="C6" i="16"/>
  <c r="C5" i="16"/>
  <c r="D17" i="16"/>
  <c r="D16" i="16"/>
  <c r="D15" i="16"/>
  <c r="O8" i="16"/>
  <c r="O13" i="16" s="1"/>
  <c r="N8" i="16"/>
  <c r="N13" i="16" s="1"/>
  <c r="M8" i="16"/>
  <c r="M13" i="16" s="1"/>
  <c r="O17" i="16" s="1"/>
  <c r="J8" i="16"/>
  <c r="J13" i="16" s="1"/>
  <c r="I8" i="16"/>
  <c r="I12" i="16" s="1"/>
  <c r="H8" i="16"/>
  <c r="H12" i="16" s="1"/>
  <c r="E8" i="16"/>
  <c r="E12" i="16" s="1"/>
  <c r="D8" i="16"/>
  <c r="D12" i="16" s="1"/>
  <c r="C8" i="16"/>
  <c r="C13" i="16" s="1"/>
  <c r="T6" i="16"/>
  <c r="S6" i="16"/>
  <c r="R6" i="16"/>
  <c r="G6" i="16"/>
  <c r="I17" i="16" s="1"/>
  <c r="T5" i="16"/>
  <c r="S5" i="16"/>
  <c r="R5" i="16"/>
  <c r="G5" i="16"/>
  <c r="I16" i="16" s="1"/>
  <c r="T4" i="16"/>
  <c r="S4" i="16"/>
  <c r="R4" i="16"/>
  <c r="G4" i="16"/>
  <c r="I15" i="16" s="1"/>
  <c r="E3" i="16"/>
  <c r="D3" i="16"/>
  <c r="C3" i="16"/>
  <c r="J4" i="15"/>
  <c r="J5" i="15"/>
  <c r="H5" i="15"/>
  <c r="E5" i="15"/>
  <c r="E4" i="15"/>
  <c r="D4" i="15"/>
  <c r="D17" i="15"/>
  <c r="D16" i="15"/>
  <c r="D15" i="15"/>
  <c r="E13" i="15"/>
  <c r="D13" i="15"/>
  <c r="O8" i="15"/>
  <c r="O12" i="15" s="1"/>
  <c r="N8" i="15"/>
  <c r="N13" i="15" s="1"/>
  <c r="M8" i="15"/>
  <c r="M13" i="15" s="1"/>
  <c r="J8" i="15"/>
  <c r="J13" i="15" s="1"/>
  <c r="I8" i="15"/>
  <c r="I12" i="15" s="1"/>
  <c r="H8" i="15"/>
  <c r="H12" i="15" s="1"/>
  <c r="E8" i="15"/>
  <c r="E12" i="15" s="1"/>
  <c r="D8" i="15"/>
  <c r="D12" i="15" s="1"/>
  <c r="C8" i="15"/>
  <c r="C12" i="15" s="1"/>
  <c r="E16" i="15" s="1"/>
  <c r="T6" i="15"/>
  <c r="S6" i="15"/>
  <c r="R6" i="15"/>
  <c r="G6" i="15"/>
  <c r="L6" i="15" s="1"/>
  <c r="T5" i="15"/>
  <c r="S5" i="15"/>
  <c r="R5" i="15"/>
  <c r="G5" i="15"/>
  <c r="I16" i="15" s="1"/>
  <c r="T4" i="15"/>
  <c r="S4" i="15"/>
  <c r="R4" i="15"/>
  <c r="G4" i="15"/>
  <c r="I15" i="15" s="1"/>
  <c r="H3" i="15"/>
  <c r="E3" i="15"/>
  <c r="D3" i="15"/>
  <c r="C3" i="15"/>
  <c r="E4" i="14"/>
  <c r="O5" i="14"/>
  <c r="N4" i="14"/>
  <c r="O4" i="14"/>
  <c r="J5" i="14"/>
  <c r="J4" i="14"/>
  <c r="I4" i="14"/>
  <c r="E5" i="14"/>
  <c r="D4" i="14"/>
  <c r="D17" i="14"/>
  <c r="D16" i="14"/>
  <c r="D15" i="14"/>
  <c r="J11" i="14"/>
  <c r="I11" i="14"/>
  <c r="H11" i="14"/>
  <c r="J15" i="14" s="1"/>
  <c r="O8" i="14"/>
  <c r="O13" i="14" s="1"/>
  <c r="N8" i="14"/>
  <c r="N13" i="14" s="1"/>
  <c r="M8" i="14"/>
  <c r="M13" i="14" s="1"/>
  <c r="J8" i="14"/>
  <c r="J12" i="14" s="1"/>
  <c r="I8" i="14"/>
  <c r="I12" i="14" s="1"/>
  <c r="H8" i="14"/>
  <c r="H12" i="14" s="1"/>
  <c r="E8" i="14"/>
  <c r="E12" i="14" s="1"/>
  <c r="D8" i="14"/>
  <c r="D12" i="14" s="1"/>
  <c r="C8" i="14"/>
  <c r="C13" i="14" s="1"/>
  <c r="T6" i="14"/>
  <c r="S6" i="14"/>
  <c r="R6" i="14"/>
  <c r="G6" i="14"/>
  <c r="L6" i="14" s="1"/>
  <c r="T5" i="14"/>
  <c r="S5" i="14"/>
  <c r="R5" i="14"/>
  <c r="G5" i="14"/>
  <c r="I16" i="14" s="1"/>
  <c r="T4" i="14"/>
  <c r="S4" i="14"/>
  <c r="R4" i="14"/>
  <c r="G4" i="14"/>
  <c r="I15" i="14" s="1"/>
  <c r="E3" i="14"/>
  <c r="D3" i="14"/>
  <c r="C3" i="14"/>
  <c r="O5" i="13"/>
  <c r="N4" i="13"/>
  <c r="O4" i="13"/>
  <c r="D4" i="13"/>
  <c r="J5" i="13"/>
  <c r="I4" i="13"/>
  <c r="J4" i="13"/>
  <c r="E5" i="13"/>
  <c r="E4" i="13"/>
  <c r="D17" i="13"/>
  <c r="D16" i="13"/>
  <c r="D15" i="13"/>
  <c r="J13" i="13"/>
  <c r="O8" i="13"/>
  <c r="O12" i="13" s="1"/>
  <c r="N8" i="13"/>
  <c r="N13" i="13" s="1"/>
  <c r="M8" i="13"/>
  <c r="M13" i="13" s="1"/>
  <c r="J8" i="13"/>
  <c r="J12" i="13" s="1"/>
  <c r="I8" i="13"/>
  <c r="I12" i="13" s="1"/>
  <c r="H8" i="13"/>
  <c r="H12" i="13" s="1"/>
  <c r="E8" i="13"/>
  <c r="E12" i="13" s="1"/>
  <c r="D8" i="13"/>
  <c r="D12" i="13" s="1"/>
  <c r="C8" i="13"/>
  <c r="C12" i="13" s="1"/>
  <c r="T6" i="13"/>
  <c r="S6" i="13"/>
  <c r="R6" i="13"/>
  <c r="G6" i="13"/>
  <c r="L6" i="13" s="1"/>
  <c r="T5" i="13"/>
  <c r="S5" i="13"/>
  <c r="R5" i="13"/>
  <c r="G5" i="13"/>
  <c r="I3" i="13" s="1"/>
  <c r="T4" i="13"/>
  <c r="S4" i="13"/>
  <c r="R4" i="13"/>
  <c r="G4" i="13"/>
  <c r="I15" i="13" s="1"/>
  <c r="E3" i="13"/>
  <c r="D3" i="13"/>
  <c r="C3" i="13"/>
  <c r="L3" i="12"/>
  <c r="H3" i="12"/>
  <c r="H6" i="12" s="1"/>
  <c r="H9" i="12" s="1"/>
  <c r="C12" i="12"/>
  <c r="C11" i="12"/>
  <c r="L6" i="12"/>
  <c r="L9" i="12" s="1"/>
  <c r="K6" i="12"/>
  <c r="K8" i="12" s="1"/>
  <c r="G6" i="12"/>
  <c r="G9" i="12" s="1"/>
  <c r="D6" i="12"/>
  <c r="D9" i="12" s="1"/>
  <c r="C6" i="12"/>
  <c r="C9" i="12" s="1"/>
  <c r="D12" i="12" s="1"/>
  <c r="P4" i="12"/>
  <c r="O4" i="12"/>
  <c r="F4" i="12"/>
  <c r="J4" i="12" s="1"/>
  <c r="P3" i="12"/>
  <c r="O3" i="12"/>
  <c r="F3" i="12"/>
  <c r="J3" i="12" s="1"/>
  <c r="G2" i="12"/>
  <c r="D2" i="12"/>
  <c r="C2" i="12"/>
  <c r="K4" i="11"/>
  <c r="H3" i="11"/>
  <c r="C12" i="11"/>
  <c r="C11" i="11"/>
  <c r="L6" i="11"/>
  <c r="L9" i="11" s="1"/>
  <c r="K6" i="11"/>
  <c r="K8" i="11" s="1"/>
  <c r="H6" i="11"/>
  <c r="H8" i="11" s="1"/>
  <c r="G6" i="11"/>
  <c r="G9" i="11" s="1"/>
  <c r="D6" i="11"/>
  <c r="D9" i="11" s="1"/>
  <c r="C6" i="11"/>
  <c r="C9" i="11" s="1"/>
  <c r="P4" i="11"/>
  <c r="O4" i="11"/>
  <c r="F4" i="11"/>
  <c r="J4" i="11" s="1"/>
  <c r="P3" i="11"/>
  <c r="O3" i="11"/>
  <c r="F3" i="11"/>
  <c r="J3" i="11" s="1"/>
  <c r="D2" i="11"/>
  <c r="C2" i="11"/>
  <c r="L3" i="10"/>
  <c r="G4" i="10"/>
  <c r="C12" i="10"/>
  <c r="C11" i="10"/>
  <c r="C9" i="10"/>
  <c r="L6" i="10"/>
  <c r="L9" i="10" s="1"/>
  <c r="K6" i="10"/>
  <c r="K9" i="10" s="1"/>
  <c r="H6" i="10"/>
  <c r="H9" i="10" s="1"/>
  <c r="G6" i="10"/>
  <c r="G9" i="10" s="1"/>
  <c r="D6" i="10"/>
  <c r="D9" i="10" s="1"/>
  <c r="C6" i="10"/>
  <c r="C8" i="10" s="1"/>
  <c r="P4" i="10"/>
  <c r="O4" i="10"/>
  <c r="F4" i="10"/>
  <c r="J4" i="10" s="1"/>
  <c r="P3" i="10"/>
  <c r="O3" i="10"/>
  <c r="F3" i="10"/>
  <c r="J3" i="10" s="1"/>
  <c r="D2" i="10"/>
  <c r="C2" i="10"/>
  <c r="L3" i="9"/>
  <c r="H3" i="9"/>
  <c r="C12" i="9"/>
  <c r="C11" i="9"/>
  <c r="L6" i="9"/>
  <c r="L9" i="9" s="1"/>
  <c r="K6" i="9"/>
  <c r="K9" i="9" s="1"/>
  <c r="H6" i="9"/>
  <c r="H9" i="9" s="1"/>
  <c r="G6" i="9"/>
  <c r="G9" i="9" s="1"/>
  <c r="D6" i="9"/>
  <c r="D8" i="9" s="1"/>
  <c r="C6" i="9"/>
  <c r="C8" i="9" s="1"/>
  <c r="P4" i="9"/>
  <c r="O4" i="9"/>
  <c r="F4" i="9"/>
  <c r="J4" i="9" s="1"/>
  <c r="P3" i="9"/>
  <c r="O3" i="9"/>
  <c r="F3" i="9"/>
  <c r="J3" i="9" s="1"/>
  <c r="H2" i="9"/>
  <c r="G2" i="9"/>
  <c r="D2" i="9"/>
  <c r="C2" i="9"/>
  <c r="L3" i="8"/>
  <c r="H3" i="8"/>
  <c r="C4" i="8"/>
  <c r="C12" i="8"/>
  <c r="C11" i="8"/>
  <c r="L6" i="8"/>
  <c r="L9" i="8" s="1"/>
  <c r="K6" i="8"/>
  <c r="K9" i="8" s="1"/>
  <c r="H6" i="8"/>
  <c r="H8" i="8" s="1"/>
  <c r="G6" i="8"/>
  <c r="G9" i="8" s="1"/>
  <c r="D6" i="8"/>
  <c r="D9" i="8" s="1"/>
  <c r="C6" i="8"/>
  <c r="C9" i="8" s="1"/>
  <c r="P4" i="8"/>
  <c r="O4" i="8"/>
  <c r="F4" i="8"/>
  <c r="J4" i="8" s="1"/>
  <c r="P3" i="8"/>
  <c r="O3" i="8"/>
  <c r="F3" i="8"/>
  <c r="J3" i="8" s="1"/>
  <c r="D2" i="8"/>
  <c r="C2" i="8"/>
  <c r="N4" i="7"/>
  <c r="O4" i="7"/>
  <c r="O5" i="7"/>
  <c r="J4" i="7"/>
  <c r="J8" i="7"/>
  <c r="J13" i="7" s="1"/>
  <c r="J5" i="7"/>
  <c r="I4" i="7"/>
  <c r="E5" i="7"/>
  <c r="E4" i="7"/>
  <c r="D4" i="7"/>
  <c r="D17" i="7"/>
  <c r="D16" i="7"/>
  <c r="D15" i="7"/>
  <c r="O8" i="7"/>
  <c r="O12" i="7" s="1"/>
  <c r="N8" i="7"/>
  <c r="N13" i="7" s="1"/>
  <c r="M8" i="7"/>
  <c r="M13" i="7" s="1"/>
  <c r="I8" i="7"/>
  <c r="I12" i="7" s="1"/>
  <c r="H8" i="7"/>
  <c r="H12" i="7" s="1"/>
  <c r="E8" i="7"/>
  <c r="E12" i="7" s="1"/>
  <c r="D8" i="7"/>
  <c r="D12" i="7" s="1"/>
  <c r="C8" i="7"/>
  <c r="C12" i="7" s="1"/>
  <c r="T6" i="7"/>
  <c r="S6" i="7"/>
  <c r="R6" i="7"/>
  <c r="G6" i="7"/>
  <c r="L6" i="7" s="1"/>
  <c r="T5" i="7"/>
  <c r="S5" i="7"/>
  <c r="R5" i="7"/>
  <c r="G5" i="7"/>
  <c r="I16" i="7" s="1"/>
  <c r="T4" i="7"/>
  <c r="S4" i="7"/>
  <c r="R4" i="7"/>
  <c r="G4" i="7"/>
  <c r="I15" i="7" s="1"/>
  <c r="E3" i="7"/>
  <c r="D3" i="7"/>
  <c r="C3" i="7"/>
  <c r="U5" i="4"/>
  <c r="V5" i="4"/>
  <c r="W5" i="4"/>
  <c r="X5" i="4"/>
  <c r="U6" i="4"/>
  <c r="V6" i="4"/>
  <c r="W6" i="4"/>
  <c r="X6" i="4"/>
  <c r="U7" i="4"/>
  <c r="V7" i="4"/>
  <c r="W7" i="4"/>
  <c r="X7" i="4"/>
  <c r="V4" i="4"/>
  <c r="W4" i="4"/>
  <c r="X4" i="4"/>
  <c r="U4" i="4"/>
  <c r="X4" i="5"/>
  <c r="Y4" i="5"/>
  <c r="Z4" i="5"/>
  <c r="AA4" i="5"/>
  <c r="AB4" i="5"/>
  <c r="X5" i="5"/>
  <c r="Y5" i="5"/>
  <c r="Z5" i="5"/>
  <c r="AA5" i="5"/>
  <c r="AA13" i="5" s="1"/>
  <c r="AB5" i="5"/>
  <c r="X6" i="5"/>
  <c r="Y6" i="5"/>
  <c r="Z6" i="5"/>
  <c r="AA6" i="5"/>
  <c r="AB6" i="5"/>
  <c r="X7" i="5"/>
  <c r="Y7" i="5"/>
  <c r="Z7" i="5"/>
  <c r="AA7" i="5"/>
  <c r="AB7" i="5"/>
  <c r="Y3" i="5"/>
  <c r="Y9" i="5" s="1"/>
  <c r="Z3" i="5"/>
  <c r="AA3" i="5"/>
  <c r="AB3" i="5"/>
  <c r="AB9" i="5" s="1"/>
  <c r="AB14" i="5" s="1"/>
  <c r="X3" i="5"/>
  <c r="AA21" i="5"/>
  <c r="AA20" i="5"/>
  <c r="AA19" i="5"/>
  <c r="AA18" i="5"/>
  <c r="AA17" i="5"/>
  <c r="AA9" i="5"/>
  <c r="AA15" i="5" s="1"/>
  <c r="Z9" i="5"/>
  <c r="Z14" i="5" s="1"/>
  <c r="X9" i="5"/>
  <c r="X14" i="5" s="1"/>
  <c r="AB2" i="5"/>
  <c r="AA2" i="5"/>
  <c r="Z2" i="5"/>
  <c r="Y2" i="5"/>
  <c r="X2" i="5"/>
  <c r="T21" i="5"/>
  <c r="T20" i="5"/>
  <c r="T19" i="5"/>
  <c r="T18" i="5"/>
  <c r="T17" i="5"/>
  <c r="U13" i="5"/>
  <c r="R12" i="5"/>
  <c r="S11" i="5"/>
  <c r="U9" i="5"/>
  <c r="U12" i="5" s="1"/>
  <c r="T9" i="5"/>
  <c r="T13" i="5" s="1"/>
  <c r="S9" i="5"/>
  <c r="S14" i="5" s="1"/>
  <c r="R9" i="5"/>
  <c r="R14" i="5" s="1"/>
  <c r="Q9" i="5"/>
  <c r="Q12" i="5" s="1"/>
  <c r="U2" i="5"/>
  <c r="T2" i="5"/>
  <c r="S2" i="5"/>
  <c r="R2" i="5"/>
  <c r="Q2" i="5"/>
  <c r="M21" i="5"/>
  <c r="M20" i="5"/>
  <c r="M19" i="5"/>
  <c r="M18" i="5"/>
  <c r="M17" i="5"/>
  <c r="J15" i="5"/>
  <c r="M12" i="5"/>
  <c r="J12" i="5"/>
  <c r="J11" i="5"/>
  <c r="N9" i="5"/>
  <c r="N14" i="5" s="1"/>
  <c r="M9" i="5"/>
  <c r="M14" i="5" s="1"/>
  <c r="L9" i="5"/>
  <c r="L12" i="5" s="1"/>
  <c r="K9" i="5"/>
  <c r="K13" i="5" s="1"/>
  <c r="J9" i="5"/>
  <c r="J14" i="5" s="1"/>
  <c r="N2" i="5"/>
  <c r="M2" i="5"/>
  <c r="L2" i="5"/>
  <c r="K2" i="5"/>
  <c r="J2" i="5"/>
  <c r="W16" i="4"/>
  <c r="K19" i="4"/>
  <c r="K17" i="4"/>
  <c r="E17" i="4"/>
  <c r="E18" i="4"/>
  <c r="E19" i="4"/>
  <c r="E16" i="4"/>
  <c r="D16" i="3"/>
  <c r="D17" i="3"/>
  <c r="D15" i="3"/>
  <c r="G12" i="2"/>
  <c r="G11" i="2"/>
  <c r="C12" i="2"/>
  <c r="C11" i="2"/>
  <c r="F18" i="5"/>
  <c r="F19" i="5"/>
  <c r="F20" i="5"/>
  <c r="F21" i="5"/>
  <c r="F17" i="5"/>
  <c r="G13" i="5"/>
  <c r="G14" i="5"/>
  <c r="G15" i="5"/>
  <c r="D9" i="5"/>
  <c r="D12" i="5" s="1"/>
  <c r="E9" i="5"/>
  <c r="E13" i="5" s="1"/>
  <c r="F9" i="5"/>
  <c r="F14" i="5" s="1"/>
  <c r="G9" i="5"/>
  <c r="G12" i="5" s="1"/>
  <c r="C9" i="5"/>
  <c r="C14" i="5" s="1"/>
  <c r="G2" i="5"/>
  <c r="F2" i="5"/>
  <c r="E2" i="5"/>
  <c r="D2" i="5"/>
  <c r="C2" i="5"/>
  <c r="T4" i="4"/>
  <c r="N7" i="4"/>
  <c r="T7" i="4" s="1"/>
  <c r="N4" i="4"/>
  <c r="Q16" i="4" s="1"/>
  <c r="U3" i="4"/>
  <c r="R3" i="4"/>
  <c r="O3" i="4"/>
  <c r="I3" i="4"/>
  <c r="H5" i="4"/>
  <c r="J3" i="4" s="1"/>
  <c r="H6" i="4"/>
  <c r="K18" i="4" s="1"/>
  <c r="H7" i="4"/>
  <c r="L3" i="4" s="1"/>
  <c r="H4" i="4"/>
  <c r="K16" i="4" s="1"/>
  <c r="F3" i="4"/>
  <c r="E3" i="4"/>
  <c r="D3" i="4"/>
  <c r="C3" i="4"/>
  <c r="J4" i="2"/>
  <c r="L2" i="2" s="1"/>
  <c r="F4" i="2"/>
  <c r="H2" i="2" s="1"/>
  <c r="F3" i="2"/>
  <c r="G2" i="2" s="1"/>
  <c r="D2" i="2"/>
  <c r="C2" i="2"/>
  <c r="L4" i="3"/>
  <c r="Q4" i="3" s="1"/>
  <c r="H3" i="3"/>
  <c r="G5" i="3"/>
  <c r="L5" i="3" s="1"/>
  <c r="N16" i="3" s="1"/>
  <c r="G6" i="3"/>
  <c r="J3" i="3" s="1"/>
  <c r="G4" i="3"/>
  <c r="I15" i="3" s="1"/>
  <c r="E3" i="3"/>
  <c r="D3" i="3"/>
  <c r="C3" i="3"/>
  <c r="I8" i="3"/>
  <c r="I11" i="3" s="1"/>
  <c r="J8" i="3"/>
  <c r="J12" i="3" s="1"/>
  <c r="O13" i="15" l="1"/>
  <c r="O11" i="17"/>
  <c r="O13" i="17"/>
  <c r="N11" i="17"/>
  <c r="C13" i="17"/>
  <c r="E13" i="17"/>
  <c r="C11" i="17"/>
  <c r="E11" i="17"/>
  <c r="D13" i="17"/>
  <c r="E17" i="17" s="1"/>
  <c r="E16" i="17"/>
  <c r="D22" i="17" s="1"/>
  <c r="D11" i="17"/>
  <c r="E15" i="17" s="1"/>
  <c r="J3" i="17"/>
  <c r="L6" i="17"/>
  <c r="O3" i="17" s="1"/>
  <c r="L5" i="17"/>
  <c r="N3" i="17" s="1"/>
  <c r="I3" i="17"/>
  <c r="J17" i="17"/>
  <c r="O17" i="17"/>
  <c r="T8" i="17"/>
  <c r="T12" i="17" s="1"/>
  <c r="H12" i="17"/>
  <c r="N13" i="17"/>
  <c r="Q6" i="17"/>
  <c r="I12" i="17"/>
  <c r="N16" i="17"/>
  <c r="J12" i="17"/>
  <c r="M12" i="17"/>
  <c r="O16" i="17" s="1"/>
  <c r="H11" i="17"/>
  <c r="I11" i="17"/>
  <c r="R8" i="17"/>
  <c r="R11" i="17" s="1"/>
  <c r="J11" i="17"/>
  <c r="L4" i="17"/>
  <c r="S8" i="17"/>
  <c r="S13" i="17" s="1"/>
  <c r="M11" i="17"/>
  <c r="O15" i="17" s="1"/>
  <c r="O12" i="16"/>
  <c r="I11" i="16"/>
  <c r="I13" i="16"/>
  <c r="C12" i="16"/>
  <c r="E11" i="16"/>
  <c r="E13" i="16"/>
  <c r="E16" i="16"/>
  <c r="D22" i="16" s="1"/>
  <c r="L6" i="16"/>
  <c r="N17" i="16" s="1"/>
  <c r="J3" i="16"/>
  <c r="Q6" i="16"/>
  <c r="S17" i="16" s="1"/>
  <c r="O3" i="16"/>
  <c r="L4" i="16"/>
  <c r="Q4" i="16" s="1"/>
  <c r="O23" i="16"/>
  <c r="O21" i="16"/>
  <c r="O27" i="16"/>
  <c r="O22" i="16"/>
  <c r="D23" i="16"/>
  <c r="D21" i="16"/>
  <c r="R3" i="16"/>
  <c r="S15" i="16"/>
  <c r="C11" i="16"/>
  <c r="E15" i="16" s="1"/>
  <c r="O11" i="16"/>
  <c r="N15" i="16"/>
  <c r="H3" i="16"/>
  <c r="T3" i="16"/>
  <c r="L5" i="16"/>
  <c r="D11" i="16"/>
  <c r="J12" i="16"/>
  <c r="J16" i="16" s="1"/>
  <c r="D13" i="16"/>
  <c r="E17" i="16" s="1"/>
  <c r="I3" i="16"/>
  <c r="M12" i="16"/>
  <c r="H11" i="16"/>
  <c r="N12" i="16"/>
  <c r="H13" i="16"/>
  <c r="J17" i="16" s="1"/>
  <c r="R8" i="16"/>
  <c r="R13" i="16" s="1"/>
  <c r="J11" i="16"/>
  <c r="S8" i="16"/>
  <c r="S11" i="16" s="1"/>
  <c r="M11" i="16"/>
  <c r="T8" i="16"/>
  <c r="T13" i="16" s="1"/>
  <c r="N11" i="16"/>
  <c r="O11" i="15"/>
  <c r="O17" i="15"/>
  <c r="O27" i="15" s="1"/>
  <c r="E11" i="15"/>
  <c r="H13" i="15"/>
  <c r="H11" i="15"/>
  <c r="D11" i="15"/>
  <c r="C13" i="15"/>
  <c r="E17" i="15" s="1"/>
  <c r="E27" i="15" s="1"/>
  <c r="C11" i="15"/>
  <c r="D22" i="15"/>
  <c r="D27" i="15"/>
  <c r="D23" i="15"/>
  <c r="D21" i="15"/>
  <c r="O3" i="15"/>
  <c r="N17" i="15"/>
  <c r="Q6" i="15"/>
  <c r="J3" i="15"/>
  <c r="N12" i="15"/>
  <c r="I11" i="15"/>
  <c r="I13" i="15"/>
  <c r="J17" i="15" s="1"/>
  <c r="J12" i="15"/>
  <c r="J16" i="15" s="1"/>
  <c r="M12" i="15"/>
  <c r="L4" i="15"/>
  <c r="R8" i="15"/>
  <c r="R11" i="15" s="1"/>
  <c r="J11" i="15"/>
  <c r="J15" i="15" s="1"/>
  <c r="I17" i="15"/>
  <c r="L5" i="15"/>
  <c r="I3" i="15"/>
  <c r="S8" i="15"/>
  <c r="S13" i="15" s="1"/>
  <c r="M11" i="15"/>
  <c r="T8" i="15"/>
  <c r="T11" i="15" s="1"/>
  <c r="N11" i="15"/>
  <c r="O12" i="14"/>
  <c r="O17" i="14"/>
  <c r="J13" i="14"/>
  <c r="I13" i="14"/>
  <c r="H13" i="14"/>
  <c r="J17" i="14" s="1"/>
  <c r="J21" i="14" s="1"/>
  <c r="E11" i="14"/>
  <c r="E13" i="14"/>
  <c r="I3" i="14"/>
  <c r="J16" i="14"/>
  <c r="O27" i="14"/>
  <c r="O23" i="14"/>
  <c r="O21" i="14"/>
  <c r="O22" i="14"/>
  <c r="H27" i="14"/>
  <c r="H23" i="14"/>
  <c r="H21" i="14"/>
  <c r="H22" i="14"/>
  <c r="N17" i="14"/>
  <c r="Q6" i="14"/>
  <c r="O3" i="14"/>
  <c r="C12" i="14"/>
  <c r="E16" i="14" s="1"/>
  <c r="C11" i="14"/>
  <c r="E15" i="14" s="1"/>
  <c r="O11" i="14"/>
  <c r="J3" i="14"/>
  <c r="H3" i="14"/>
  <c r="L5" i="14"/>
  <c r="D11" i="14"/>
  <c r="D13" i="14"/>
  <c r="E17" i="14" s="1"/>
  <c r="L4" i="14"/>
  <c r="N12" i="14"/>
  <c r="M12" i="14"/>
  <c r="R8" i="14"/>
  <c r="R13" i="14" s="1"/>
  <c r="S8" i="14"/>
  <c r="S11" i="14" s="1"/>
  <c r="M11" i="14"/>
  <c r="I17" i="14"/>
  <c r="T8" i="14"/>
  <c r="T11" i="14" s="1"/>
  <c r="N11" i="14"/>
  <c r="I11" i="13"/>
  <c r="I13" i="13"/>
  <c r="J11" i="13"/>
  <c r="J16" i="13"/>
  <c r="I21" i="13" s="1"/>
  <c r="E13" i="13"/>
  <c r="E11" i="13"/>
  <c r="J3" i="13"/>
  <c r="I22" i="13"/>
  <c r="O3" i="13"/>
  <c r="N17" i="13"/>
  <c r="Q6" i="13"/>
  <c r="E16" i="13"/>
  <c r="C11" i="13"/>
  <c r="O11" i="13"/>
  <c r="C13" i="13"/>
  <c r="O13" i="13"/>
  <c r="O17" i="13" s="1"/>
  <c r="L4" i="13"/>
  <c r="H3" i="13"/>
  <c r="L5" i="13"/>
  <c r="D11" i="13"/>
  <c r="D13" i="13"/>
  <c r="M12" i="13"/>
  <c r="H11" i="13"/>
  <c r="J15" i="13" s="1"/>
  <c r="N12" i="13"/>
  <c r="H13" i="13"/>
  <c r="J17" i="13" s="1"/>
  <c r="R8" i="13"/>
  <c r="R12" i="13" s="1"/>
  <c r="S8" i="13"/>
  <c r="S12" i="13" s="1"/>
  <c r="M11" i="13"/>
  <c r="I16" i="13"/>
  <c r="I17" i="13"/>
  <c r="T8" i="13"/>
  <c r="T11" i="13" s="1"/>
  <c r="N11" i="13"/>
  <c r="H12" i="12"/>
  <c r="K11" i="12"/>
  <c r="N3" i="12"/>
  <c r="K2" i="12"/>
  <c r="K12" i="12"/>
  <c r="L2" i="12"/>
  <c r="N4" i="12"/>
  <c r="H2" i="12"/>
  <c r="D8" i="12"/>
  <c r="G8" i="12"/>
  <c r="G11" i="12"/>
  <c r="G12" i="12"/>
  <c r="K9" i="12"/>
  <c r="L12" i="12" s="1"/>
  <c r="L8" i="12"/>
  <c r="L11" i="12" s="1"/>
  <c r="C8" i="12"/>
  <c r="H8" i="12"/>
  <c r="O6" i="12"/>
  <c r="O9" i="12" s="1"/>
  <c r="P6" i="12"/>
  <c r="P9" i="12" s="1"/>
  <c r="G2" i="11"/>
  <c r="G11" i="11"/>
  <c r="N4" i="11"/>
  <c r="L2" i="11"/>
  <c r="K12" i="11"/>
  <c r="K2" i="11"/>
  <c r="K11" i="11"/>
  <c r="N3" i="11"/>
  <c r="D12" i="11"/>
  <c r="C8" i="11"/>
  <c r="H2" i="11"/>
  <c r="D8" i="11"/>
  <c r="G12" i="11"/>
  <c r="H9" i="11"/>
  <c r="H12" i="11" s="1"/>
  <c r="K9" i="11"/>
  <c r="L12" i="11" s="1"/>
  <c r="G8" i="11"/>
  <c r="H11" i="11" s="1"/>
  <c r="L8" i="11"/>
  <c r="L11" i="11" s="1"/>
  <c r="O6" i="11"/>
  <c r="O8" i="11" s="1"/>
  <c r="P6" i="11"/>
  <c r="P9" i="11" s="1"/>
  <c r="L12" i="10"/>
  <c r="K8" i="10"/>
  <c r="D12" i="10"/>
  <c r="G2" i="10"/>
  <c r="G11" i="10"/>
  <c r="L2" i="10"/>
  <c r="N4" i="10"/>
  <c r="K12" i="10"/>
  <c r="O9" i="10"/>
  <c r="K11" i="10"/>
  <c r="K2" i="10"/>
  <c r="N3" i="10"/>
  <c r="H12" i="10"/>
  <c r="H2" i="10"/>
  <c r="D8" i="10"/>
  <c r="D11" i="10" s="1"/>
  <c r="G8" i="10"/>
  <c r="H11" i="10" s="1"/>
  <c r="G12" i="10"/>
  <c r="H8" i="10"/>
  <c r="L8" i="10"/>
  <c r="L11" i="10" s="1"/>
  <c r="O6" i="10"/>
  <c r="O8" i="10" s="1"/>
  <c r="P6" i="10"/>
  <c r="P8" i="10" s="1"/>
  <c r="L12" i="9"/>
  <c r="H12" i="9"/>
  <c r="D11" i="9"/>
  <c r="K2" i="9"/>
  <c r="K11" i="9"/>
  <c r="N3" i="9"/>
  <c r="O8" i="9"/>
  <c r="P8" i="9"/>
  <c r="L2" i="9"/>
  <c r="N4" i="9"/>
  <c r="K12" i="9"/>
  <c r="G8" i="9"/>
  <c r="G11" i="9"/>
  <c r="G12" i="9"/>
  <c r="D9" i="9"/>
  <c r="H8" i="9"/>
  <c r="K8" i="9"/>
  <c r="C9" i="9"/>
  <c r="L8" i="9"/>
  <c r="O6" i="9"/>
  <c r="O9" i="9" s="1"/>
  <c r="P6" i="9"/>
  <c r="P9" i="9" s="1"/>
  <c r="L12" i="8"/>
  <c r="L8" i="8"/>
  <c r="G2" i="8"/>
  <c r="N4" i="8"/>
  <c r="K12" i="8"/>
  <c r="L2" i="8"/>
  <c r="O9" i="8"/>
  <c r="K11" i="8"/>
  <c r="K2" i="8"/>
  <c r="N3" i="8"/>
  <c r="D12" i="8"/>
  <c r="C8" i="8"/>
  <c r="H2" i="8"/>
  <c r="D8" i="8"/>
  <c r="G8" i="8"/>
  <c r="H11" i="8" s="1"/>
  <c r="G11" i="8"/>
  <c r="G12" i="8"/>
  <c r="H9" i="8"/>
  <c r="H12" i="8" s="1"/>
  <c r="O6" i="8"/>
  <c r="O8" i="8" s="1"/>
  <c r="K8" i="8"/>
  <c r="L11" i="8" s="1"/>
  <c r="P6" i="8"/>
  <c r="P8" i="8" s="1"/>
  <c r="I13" i="7"/>
  <c r="I11" i="7"/>
  <c r="H13" i="7"/>
  <c r="H11" i="7"/>
  <c r="E13" i="7"/>
  <c r="D13" i="7"/>
  <c r="E11" i="7"/>
  <c r="D11" i="7"/>
  <c r="E16" i="7"/>
  <c r="D23" i="7" s="1"/>
  <c r="L5" i="7"/>
  <c r="N3" i="7" s="1"/>
  <c r="H3" i="7"/>
  <c r="L4" i="7"/>
  <c r="O3" i="7"/>
  <c r="N17" i="7"/>
  <c r="Q6" i="7"/>
  <c r="J17" i="7"/>
  <c r="D21" i="7"/>
  <c r="D22" i="7"/>
  <c r="C11" i="7"/>
  <c r="O11" i="7"/>
  <c r="C13" i="7"/>
  <c r="E17" i="7" s="1"/>
  <c r="O13" i="7"/>
  <c r="O17" i="7" s="1"/>
  <c r="N16" i="7"/>
  <c r="J12" i="7"/>
  <c r="J16" i="7" s="1"/>
  <c r="I3" i="7"/>
  <c r="Q5" i="7"/>
  <c r="M12" i="7"/>
  <c r="J3" i="7"/>
  <c r="N12" i="7"/>
  <c r="R8" i="7"/>
  <c r="R11" i="7" s="1"/>
  <c r="J11" i="7"/>
  <c r="S8" i="7"/>
  <c r="S12" i="7" s="1"/>
  <c r="M11" i="7"/>
  <c r="I17" i="7"/>
  <c r="T8" i="7"/>
  <c r="T12" i="7" s="1"/>
  <c r="N11" i="7"/>
  <c r="S15" i="3"/>
  <c r="R3" i="3"/>
  <c r="W19" i="4"/>
  <c r="X3" i="4"/>
  <c r="L6" i="3"/>
  <c r="Q19" i="4"/>
  <c r="M15" i="5"/>
  <c r="R15" i="5"/>
  <c r="N15" i="5"/>
  <c r="S15" i="5"/>
  <c r="M11" i="5"/>
  <c r="J3" i="2"/>
  <c r="I16" i="3"/>
  <c r="N11" i="5"/>
  <c r="R11" i="5"/>
  <c r="I17" i="3"/>
  <c r="N6" i="4"/>
  <c r="N15" i="3"/>
  <c r="K3" i="4"/>
  <c r="L13" i="5"/>
  <c r="Q13" i="5"/>
  <c r="N4" i="2"/>
  <c r="N12" i="5"/>
  <c r="S12" i="5"/>
  <c r="M3" i="3"/>
  <c r="K12" i="2"/>
  <c r="M13" i="5"/>
  <c r="R13" i="5"/>
  <c r="Y15" i="5"/>
  <c r="X11" i="5"/>
  <c r="AB11" i="5"/>
  <c r="AB13" i="5"/>
  <c r="AA12" i="5"/>
  <c r="AB15" i="5"/>
  <c r="AB12" i="5"/>
  <c r="Y11" i="5"/>
  <c r="X15" i="5"/>
  <c r="X13" i="5"/>
  <c r="X12" i="5"/>
  <c r="Z11" i="5"/>
  <c r="Y12" i="5"/>
  <c r="AB18" i="5" s="1"/>
  <c r="AA14" i="5"/>
  <c r="Z15" i="5"/>
  <c r="AA11" i="5"/>
  <c r="Z12" i="5"/>
  <c r="Y13" i="5"/>
  <c r="Z13" i="5"/>
  <c r="Y14" i="5"/>
  <c r="AB20" i="5" s="1"/>
  <c r="T14" i="5"/>
  <c r="T11" i="5"/>
  <c r="Q11" i="5"/>
  <c r="U11" i="5"/>
  <c r="T12" i="5"/>
  <c r="S13" i="5"/>
  <c r="Q15" i="5"/>
  <c r="U15" i="5"/>
  <c r="Q14" i="5"/>
  <c r="U14" i="5"/>
  <c r="T15" i="5"/>
  <c r="K11" i="5"/>
  <c r="N17" i="5" s="1"/>
  <c r="K15" i="5"/>
  <c r="L11" i="5"/>
  <c r="K12" i="5"/>
  <c r="J13" i="5"/>
  <c r="N13" i="5"/>
  <c r="L15" i="5"/>
  <c r="K14" i="5"/>
  <c r="N20" i="5" s="1"/>
  <c r="L14" i="5"/>
  <c r="G11" i="5"/>
  <c r="F15" i="5"/>
  <c r="F13" i="5"/>
  <c r="F11" i="5"/>
  <c r="F12" i="5"/>
  <c r="E14" i="5"/>
  <c r="E15" i="5"/>
  <c r="E11" i="5"/>
  <c r="E12" i="5"/>
  <c r="D11" i="5"/>
  <c r="D15" i="5"/>
  <c r="D14" i="5"/>
  <c r="G20" i="5" s="1"/>
  <c r="D13" i="5"/>
  <c r="C13" i="5"/>
  <c r="C11" i="5"/>
  <c r="C12" i="5"/>
  <c r="C15" i="5"/>
  <c r="N5" i="4"/>
  <c r="P3" i="4" s="1"/>
  <c r="I3" i="3"/>
  <c r="N3" i="3"/>
  <c r="Q5" i="3"/>
  <c r="J11" i="3"/>
  <c r="J13" i="3"/>
  <c r="I12" i="3"/>
  <c r="I13" i="3"/>
  <c r="V9" i="4"/>
  <c r="W9" i="4"/>
  <c r="X9" i="4"/>
  <c r="U9" i="4"/>
  <c r="R9" i="4"/>
  <c r="R14" i="4" s="1"/>
  <c r="Q9" i="4"/>
  <c r="Q14" i="4" s="1"/>
  <c r="P9" i="4"/>
  <c r="P14" i="4" s="1"/>
  <c r="O9" i="4"/>
  <c r="O12" i="4" s="1"/>
  <c r="L9" i="4"/>
  <c r="L12" i="4" s="1"/>
  <c r="K9" i="4"/>
  <c r="K14" i="4" s="1"/>
  <c r="J9" i="4"/>
  <c r="J14" i="4" s="1"/>
  <c r="I9" i="4"/>
  <c r="I14" i="4" s="1"/>
  <c r="D9" i="4"/>
  <c r="D11" i="4" s="1"/>
  <c r="E9" i="4"/>
  <c r="E12" i="4" s="1"/>
  <c r="F9" i="4"/>
  <c r="F12" i="4" s="1"/>
  <c r="C9" i="4"/>
  <c r="C11" i="4" s="1"/>
  <c r="R5" i="3"/>
  <c r="R6" i="3"/>
  <c r="R4" i="3"/>
  <c r="O8" i="3"/>
  <c r="O13" i="3" s="1"/>
  <c r="N8" i="3"/>
  <c r="N13" i="3" s="1"/>
  <c r="M8" i="3"/>
  <c r="M11" i="3" s="1"/>
  <c r="H8" i="3"/>
  <c r="H12" i="3" s="1"/>
  <c r="O4" i="2"/>
  <c r="P4" i="2"/>
  <c r="P3" i="2"/>
  <c r="O3" i="2"/>
  <c r="L6" i="2"/>
  <c r="L9" i="2" s="1"/>
  <c r="K6" i="2"/>
  <c r="K8" i="2" s="1"/>
  <c r="H6" i="2"/>
  <c r="H9" i="2" s="1"/>
  <c r="G6" i="2"/>
  <c r="G9" i="2" s="1"/>
  <c r="D8" i="3"/>
  <c r="D13" i="3" s="1"/>
  <c r="E8" i="3"/>
  <c r="E11" i="3" s="1"/>
  <c r="C8" i="3"/>
  <c r="C13" i="3" s="1"/>
  <c r="D6" i="2"/>
  <c r="D9" i="2" s="1"/>
  <c r="C6" i="2"/>
  <c r="C9" i="2" s="1"/>
  <c r="O22" i="15" l="1"/>
  <c r="R13" i="17"/>
  <c r="E27" i="17"/>
  <c r="E21" i="17"/>
  <c r="E23" i="17"/>
  <c r="E22" i="17"/>
  <c r="D23" i="17"/>
  <c r="D27" i="17"/>
  <c r="C23" i="17"/>
  <c r="E25" i="17" s="1"/>
  <c r="E29" i="17" s="1"/>
  <c r="C21" i="17"/>
  <c r="C27" i="17"/>
  <c r="C22" i="17"/>
  <c r="D21" i="17"/>
  <c r="N17" i="17"/>
  <c r="Q5" i="17"/>
  <c r="Q4" i="17"/>
  <c r="M3" i="17"/>
  <c r="N15" i="17"/>
  <c r="J16" i="17"/>
  <c r="S17" i="17"/>
  <c r="T3" i="17"/>
  <c r="J15" i="17"/>
  <c r="J27" i="17"/>
  <c r="J22" i="17"/>
  <c r="J21" i="17"/>
  <c r="J23" i="17"/>
  <c r="O27" i="17"/>
  <c r="O23" i="17"/>
  <c r="O21" i="17"/>
  <c r="O22" i="17"/>
  <c r="M22" i="17"/>
  <c r="M21" i="17"/>
  <c r="M27" i="17"/>
  <c r="M23" i="17"/>
  <c r="N27" i="17"/>
  <c r="N23" i="17"/>
  <c r="N21" i="17"/>
  <c r="N22" i="17"/>
  <c r="T13" i="17"/>
  <c r="T17" i="17" s="1"/>
  <c r="S12" i="17"/>
  <c r="S11" i="17"/>
  <c r="S16" i="17"/>
  <c r="S3" i="17"/>
  <c r="R12" i="17"/>
  <c r="T11" i="17"/>
  <c r="O15" i="16"/>
  <c r="M22" i="16" s="1"/>
  <c r="R12" i="16"/>
  <c r="J15" i="16"/>
  <c r="T11" i="16"/>
  <c r="D27" i="16"/>
  <c r="R11" i="16"/>
  <c r="T15" i="16" s="1"/>
  <c r="R27" i="16" s="1"/>
  <c r="T12" i="16"/>
  <c r="M3" i="16"/>
  <c r="E27" i="16"/>
  <c r="E23" i="16"/>
  <c r="E21" i="16"/>
  <c r="E22" i="16"/>
  <c r="I22" i="16"/>
  <c r="I27" i="16"/>
  <c r="I23" i="16"/>
  <c r="I21" i="16"/>
  <c r="S12" i="16"/>
  <c r="C23" i="16"/>
  <c r="E25" i="16" s="1"/>
  <c r="C27" i="16"/>
  <c r="C21" i="16"/>
  <c r="C22" i="16"/>
  <c r="S13" i="16"/>
  <c r="T17" i="16" s="1"/>
  <c r="O16" i="16"/>
  <c r="N3" i="16"/>
  <c r="Q5" i="16"/>
  <c r="N16" i="16"/>
  <c r="H27" i="16"/>
  <c r="H23" i="16"/>
  <c r="H21" i="16"/>
  <c r="H22" i="16"/>
  <c r="J22" i="16"/>
  <c r="J27" i="16"/>
  <c r="J23" i="16"/>
  <c r="J21" i="16"/>
  <c r="O21" i="15"/>
  <c r="O23" i="15"/>
  <c r="O15" i="15"/>
  <c r="M22" i="15" s="1"/>
  <c r="O16" i="15"/>
  <c r="N23" i="15" s="1"/>
  <c r="E15" i="15"/>
  <c r="E23" i="15"/>
  <c r="E21" i="15"/>
  <c r="E22" i="15"/>
  <c r="C21" i="15"/>
  <c r="C25" i="15" s="1"/>
  <c r="C27" i="15"/>
  <c r="J27" i="15"/>
  <c r="J23" i="15"/>
  <c r="J22" i="15"/>
  <c r="J21" i="15"/>
  <c r="T13" i="15"/>
  <c r="T12" i="15"/>
  <c r="S12" i="15"/>
  <c r="S11" i="15"/>
  <c r="T15" i="15" s="1"/>
  <c r="F27" i="1" s="1"/>
  <c r="R13" i="15"/>
  <c r="I21" i="15"/>
  <c r="I27" i="15"/>
  <c r="I23" i="15"/>
  <c r="I22" i="15"/>
  <c r="N3" i="15"/>
  <c r="N16" i="15"/>
  <c r="Q5" i="15"/>
  <c r="T3" i="15"/>
  <c r="S17" i="15"/>
  <c r="R12" i="15"/>
  <c r="N15" i="15"/>
  <c r="Q4" i="15"/>
  <c r="M3" i="15"/>
  <c r="H27" i="15"/>
  <c r="H23" i="15"/>
  <c r="H21" i="15"/>
  <c r="H22" i="15"/>
  <c r="I25" i="15" s="1"/>
  <c r="I29" i="15" s="1"/>
  <c r="R11" i="14"/>
  <c r="R12" i="14"/>
  <c r="J27" i="14"/>
  <c r="J22" i="14"/>
  <c r="J23" i="14"/>
  <c r="S12" i="14"/>
  <c r="T15" i="14"/>
  <c r="R22" i="14" s="1"/>
  <c r="T13" i="14"/>
  <c r="E22" i="14"/>
  <c r="E27" i="14"/>
  <c r="E23" i="14"/>
  <c r="E21" i="14"/>
  <c r="Q4" i="14"/>
  <c r="M3" i="14"/>
  <c r="N15" i="14"/>
  <c r="I22" i="14"/>
  <c r="I25" i="14" s="1"/>
  <c r="I27" i="14"/>
  <c r="I23" i="14"/>
  <c r="I21" i="14"/>
  <c r="H25" i="14" s="1"/>
  <c r="H29" i="14" s="1"/>
  <c r="C23" i="14"/>
  <c r="C21" i="14"/>
  <c r="C27" i="14"/>
  <c r="C22" i="14"/>
  <c r="O15" i="14"/>
  <c r="D27" i="14"/>
  <c r="D23" i="14"/>
  <c r="D21" i="14"/>
  <c r="D22" i="14"/>
  <c r="N3" i="14"/>
  <c r="Q5" i="14"/>
  <c r="N16" i="14"/>
  <c r="T12" i="14"/>
  <c r="T16" i="14" s="1"/>
  <c r="S13" i="14"/>
  <c r="O16" i="14"/>
  <c r="S17" i="14"/>
  <c r="T3" i="14"/>
  <c r="O16" i="13"/>
  <c r="I23" i="13"/>
  <c r="I27" i="13"/>
  <c r="E17" i="13"/>
  <c r="E27" i="13" s="1"/>
  <c r="S11" i="13"/>
  <c r="R13" i="13"/>
  <c r="E15" i="13"/>
  <c r="C22" i="13" s="1"/>
  <c r="R11" i="13"/>
  <c r="O27" i="13"/>
  <c r="O23" i="13"/>
  <c r="O21" i="13"/>
  <c r="O22" i="13"/>
  <c r="N22" i="13"/>
  <c r="N27" i="13"/>
  <c r="N23" i="13"/>
  <c r="N21" i="13"/>
  <c r="T13" i="13"/>
  <c r="M3" i="13"/>
  <c r="Q4" i="13"/>
  <c r="N15" i="13"/>
  <c r="J22" i="13"/>
  <c r="J27" i="13"/>
  <c r="J23" i="13"/>
  <c r="J21" i="13"/>
  <c r="H27" i="13"/>
  <c r="H23" i="13"/>
  <c r="H21" i="13"/>
  <c r="H22" i="13"/>
  <c r="T12" i="13"/>
  <c r="T16" i="13" s="1"/>
  <c r="S22" i="13" s="1"/>
  <c r="O15" i="13"/>
  <c r="S13" i="13"/>
  <c r="N3" i="13"/>
  <c r="Q5" i="13"/>
  <c r="N16" i="13"/>
  <c r="D27" i="13"/>
  <c r="D23" i="13"/>
  <c r="D21" i="13"/>
  <c r="D22" i="13"/>
  <c r="S17" i="13"/>
  <c r="T3" i="13"/>
  <c r="H11" i="12"/>
  <c r="P12" i="12"/>
  <c r="P8" i="12"/>
  <c r="D11" i="12"/>
  <c r="O2" i="12"/>
  <c r="O11" i="12"/>
  <c r="O8" i="12"/>
  <c r="P11" i="12" s="1"/>
  <c r="O12" i="12"/>
  <c r="P2" i="12"/>
  <c r="D11" i="11"/>
  <c r="O9" i="11"/>
  <c r="P12" i="11" s="1"/>
  <c r="P8" i="11"/>
  <c r="P11" i="11" s="1"/>
  <c r="P2" i="11"/>
  <c r="O12" i="11"/>
  <c r="O11" i="11"/>
  <c r="O2" i="11"/>
  <c r="P9" i="10"/>
  <c r="P12" i="10"/>
  <c r="P11" i="10"/>
  <c r="O12" i="10"/>
  <c r="P2" i="10"/>
  <c r="O2" i="10"/>
  <c r="O11" i="10"/>
  <c r="L11" i="9"/>
  <c r="P11" i="9"/>
  <c r="P12" i="9"/>
  <c r="O12" i="9"/>
  <c r="P2" i="9"/>
  <c r="H11" i="9"/>
  <c r="O11" i="9"/>
  <c r="O2" i="9"/>
  <c r="D12" i="9"/>
  <c r="P11" i="8"/>
  <c r="P9" i="8"/>
  <c r="P12" i="8" s="1"/>
  <c r="D11" i="8"/>
  <c r="P2" i="8"/>
  <c r="O12" i="8"/>
  <c r="O11" i="8"/>
  <c r="O2" i="8"/>
  <c r="T13" i="7"/>
  <c r="J15" i="7"/>
  <c r="R13" i="7"/>
  <c r="R12" i="7"/>
  <c r="T16" i="7" s="1"/>
  <c r="S27" i="7" s="1"/>
  <c r="D27" i="7"/>
  <c r="E15" i="7"/>
  <c r="C23" i="7" s="1"/>
  <c r="S11" i="7"/>
  <c r="N15" i="7"/>
  <c r="Q4" i="7"/>
  <c r="M3" i="7"/>
  <c r="O27" i="7"/>
  <c r="O23" i="7"/>
  <c r="O21" i="7"/>
  <c r="O22" i="7"/>
  <c r="I22" i="7"/>
  <c r="I27" i="7"/>
  <c r="I23" i="7"/>
  <c r="I21" i="7"/>
  <c r="S16" i="7"/>
  <c r="S3" i="7"/>
  <c r="T11" i="7"/>
  <c r="O15" i="7"/>
  <c r="C22" i="7"/>
  <c r="E27" i="7"/>
  <c r="E23" i="7"/>
  <c r="E21" i="7"/>
  <c r="E22" i="7"/>
  <c r="S17" i="7"/>
  <c r="T3" i="7"/>
  <c r="H27" i="7"/>
  <c r="H23" i="7"/>
  <c r="H21" i="7"/>
  <c r="H22" i="7"/>
  <c r="J22" i="7"/>
  <c r="J27" i="7"/>
  <c r="J23" i="7"/>
  <c r="J21" i="7"/>
  <c r="S13" i="7"/>
  <c r="T17" i="7" s="1"/>
  <c r="O16" i="7"/>
  <c r="H8" i="2"/>
  <c r="O12" i="3"/>
  <c r="O11" i="3"/>
  <c r="S3" i="3"/>
  <c r="S16" i="3"/>
  <c r="P2" i="2"/>
  <c r="O12" i="2"/>
  <c r="U19" i="5"/>
  <c r="S28" i="5" s="1"/>
  <c r="U18" i="5"/>
  <c r="R26" i="5" s="1"/>
  <c r="T6" i="4"/>
  <c r="Q3" i="4"/>
  <c r="Q18" i="4"/>
  <c r="O3" i="3"/>
  <c r="N17" i="3"/>
  <c r="Q6" i="3"/>
  <c r="K2" i="2"/>
  <c r="K11" i="2"/>
  <c r="N3" i="2"/>
  <c r="N11" i="3"/>
  <c r="N12" i="3"/>
  <c r="T5" i="4"/>
  <c r="Q17" i="4"/>
  <c r="N18" i="5"/>
  <c r="K28" i="5" s="1"/>
  <c r="V14" i="4"/>
  <c r="U14" i="4"/>
  <c r="X19" i="4" s="1"/>
  <c r="X24" i="4" s="1"/>
  <c r="G21" i="5"/>
  <c r="E34" i="5" s="1"/>
  <c r="F24" i="5"/>
  <c r="E33" i="5"/>
  <c r="U17" i="5"/>
  <c r="S30" i="5" s="1"/>
  <c r="N21" i="5"/>
  <c r="N28" i="5" s="1"/>
  <c r="O15" i="3"/>
  <c r="J16" i="3"/>
  <c r="I27" i="3" s="1"/>
  <c r="H12" i="2"/>
  <c r="AB17" i="5"/>
  <c r="X25" i="5" s="1"/>
  <c r="AB19" i="5"/>
  <c r="Z27" i="5" s="1"/>
  <c r="AB21" i="5"/>
  <c r="Z34" i="5" s="1"/>
  <c r="Y25" i="5"/>
  <c r="Z31" i="5"/>
  <c r="Y28" i="5"/>
  <c r="Y24" i="5"/>
  <c r="Y27" i="5"/>
  <c r="Y26" i="5"/>
  <c r="AA27" i="5"/>
  <c r="AA26" i="5"/>
  <c r="AA25" i="5"/>
  <c r="Z33" i="5"/>
  <c r="AA28" i="5"/>
  <c r="AA24" i="5"/>
  <c r="S24" i="5"/>
  <c r="S27" i="5"/>
  <c r="S25" i="5"/>
  <c r="S32" i="5"/>
  <c r="S26" i="5"/>
  <c r="Q25" i="5"/>
  <c r="Q27" i="5"/>
  <c r="U20" i="5"/>
  <c r="U21" i="5"/>
  <c r="R25" i="5"/>
  <c r="R28" i="5"/>
  <c r="R24" i="5"/>
  <c r="R27" i="5"/>
  <c r="J28" i="5"/>
  <c r="J24" i="5"/>
  <c r="J25" i="5"/>
  <c r="J27" i="5"/>
  <c r="L30" i="5"/>
  <c r="J26" i="5"/>
  <c r="M25" i="5"/>
  <c r="L33" i="5"/>
  <c r="M28" i="5"/>
  <c r="M24" i="5"/>
  <c r="M27" i="5"/>
  <c r="M26" i="5"/>
  <c r="N19" i="5"/>
  <c r="L31" i="5"/>
  <c r="K26" i="5"/>
  <c r="F26" i="5"/>
  <c r="F27" i="5"/>
  <c r="G18" i="5"/>
  <c r="F25" i="5"/>
  <c r="G17" i="5"/>
  <c r="F28" i="5"/>
  <c r="G19" i="5"/>
  <c r="D24" i="5"/>
  <c r="D28" i="5"/>
  <c r="G25" i="5"/>
  <c r="X14" i="4"/>
  <c r="W14" i="4"/>
  <c r="H11" i="3"/>
  <c r="J15" i="3" s="1"/>
  <c r="W13" i="4"/>
  <c r="W11" i="4"/>
  <c r="W12" i="4"/>
  <c r="X11" i="4"/>
  <c r="X12" i="4"/>
  <c r="X13" i="4"/>
  <c r="U11" i="4"/>
  <c r="X16" i="4" s="1"/>
  <c r="U12" i="4"/>
  <c r="X17" i="4" s="1"/>
  <c r="U13" i="4"/>
  <c r="X18" i="4" s="1"/>
  <c r="V11" i="4"/>
  <c r="V12" i="4"/>
  <c r="V13" i="4"/>
  <c r="R12" i="4"/>
  <c r="O11" i="4"/>
  <c r="R16" i="4" s="1"/>
  <c r="O13" i="4"/>
  <c r="O14" i="4"/>
  <c r="R19" i="4" s="1"/>
  <c r="P11" i="4"/>
  <c r="P12" i="4"/>
  <c r="P13" i="4"/>
  <c r="R11" i="4"/>
  <c r="R13" i="4"/>
  <c r="Q11" i="4"/>
  <c r="Q12" i="4"/>
  <c r="Q13" i="4"/>
  <c r="L11" i="4"/>
  <c r="L13" i="4"/>
  <c r="L14" i="4"/>
  <c r="L19" i="4" s="1"/>
  <c r="I12" i="4"/>
  <c r="J11" i="4"/>
  <c r="J12" i="4"/>
  <c r="J13" i="4"/>
  <c r="I11" i="4"/>
  <c r="I13" i="4"/>
  <c r="K11" i="4"/>
  <c r="K12" i="4"/>
  <c r="K13" i="4"/>
  <c r="D12" i="4"/>
  <c r="D14" i="4"/>
  <c r="C14" i="4"/>
  <c r="C12" i="4"/>
  <c r="C13" i="4"/>
  <c r="E11" i="4"/>
  <c r="D13" i="4"/>
  <c r="F13" i="4"/>
  <c r="F14" i="4"/>
  <c r="F11" i="4"/>
  <c r="E14" i="4"/>
  <c r="E13" i="4"/>
  <c r="C11" i="3"/>
  <c r="R8" i="3"/>
  <c r="R12" i="3" s="1"/>
  <c r="M13" i="3"/>
  <c r="O17" i="3" s="1"/>
  <c r="M12" i="3"/>
  <c r="O16" i="3" s="1"/>
  <c r="H13" i="3"/>
  <c r="J17" i="3" s="1"/>
  <c r="J27" i="3" s="1"/>
  <c r="E13" i="3"/>
  <c r="E17" i="3" s="1"/>
  <c r="E22" i="3" s="1"/>
  <c r="E12" i="3"/>
  <c r="D12" i="3"/>
  <c r="D11" i="3"/>
  <c r="C12" i="3"/>
  <c r="L8" i="2"/>
  <c r="L11" i="2" s="1"/>
  <c r="G8" i="2"/>
  <c r="H11" i="2" s="1"/>
  <c r="D8" i="2"/>
  <c r="O6" i="2"/>
  <c r="O9" i="2" s="1"/>
  <c r="P12" i="2" s="1"/>
  <c r="D12" i="2"/>
  <c r="C8" i="2"/>
  <c r="P6" i="2"/>
  <c r="P9" i="2" s="1"/>
  <c r="K9" i="2"/>
  <c r="L12" i="2" s="1"/>
  <c r="F77" i="1" l="1"/>
  <c r="Q77" i="1" s="1"/>
  <c r="F87" i="1"/>
  <c r="Q87" i="1" s="1"/>
  <c r="F37" i="1"/>
  <c r="Q27" i="1"/>
  <c r="F57" i="1"/>
  <c r="Q57" i="1" s="1"/>
  <c r="F67" i="1"/>
  <c r="Q67" i="1" s="1"/>
  <c r="Q117" i="1"/>
  <c r="N25" i="17"/>
  <c r="M25" i="17"/>
  <c r="O25" i="17"/>
  <c r="O29" i="17" s="1"/>
  <c r="T23" i="17"/>
  <c r="T22" i="17"/>
  <c r="T27" i="17"/>
  <c r="T21" i="17"/>
  <c r="T15" i="17"/>
  <c r="R22" i="17" s="1"/>
  <c r="T16" i="17"/>
  <c r="S23" i="17" s="1"/>
  <c r="D25" i="17"/>
  <c r="D29" i="17" s="1"/>
  <c r="C25" i="17"/>
  <c r="C29" i="17" s="1"/>
  <c r="H22" i="17"/>
  <c r="H27" i="17"/>
  <c r="H23" i="17"/>
  <c r="H21" i="17"/>
  <c r="M29" i="17"/>
  <c r="N29" i="17"/>
  <c r="I22" i="17"/>
  <c r="I27" i="17"/>
  <c r="I23" i="17"/>
  <c r="I21" i="17"/>
  <c r="R3" i="17"/>
  <c r="S15" i="17"/>
  <c r="M21" i="16"/>
  <c r="M23" i="16"/>
  <c r="M27" i="16"/>
  <c r="T16" i="16"/>
  <c r="S21" i="16" s="1"/>
  <c r="J25" i="16"/>
  <c r="S27" i="16"/>
  <c r="S23" i="16"/>
  <c r="S22" i="16"/>
  <c r="T23" i="16"/>
  <c r="T21" i="16"/>
  <c r="T22" i="16"/>
  <c r="T27" i="16"/>
  <c r="R22" i="16"/>
  <c r="R21" i="16"/>
  <c r="R23" i="16"/>
  <c r="E29" i="16"/>
  <c r="C25" i="16"/>
  <c r="C29" i="16" s="1"/>
  <c r="H25" i="16"/>
  <c r="H29" i="16" s="1"/>
  <c r="S16" i="16"/>
  <c r="S3" i="16"/>
  <c r="J29" i="16"/>
  <c r="I25" i="16"/>
  <c r="I29" i="16" s="1"/>
  <c r="N22" i="16"/>
  <c r="N25" i="16" s="1"/>
  <c r="N27" i="16"/>
  <c r="N23" i="16"/>
  <c r="N21" i="16"/>
  <c r="M25" i="16" s="1"/>
  <c r="M29" i="16" s="1"/>
  <c r="D25" i="16"/>
  <c r="D29" i="16" s="1"/>
  <c r="N22" i="15"/>
  <c r="N25" i="15"/>
  <c r="M23" i="15"/>
  <c r="O25" i="15" s="1"/>
  <c r="O29" i="15" s="1"/>
  <c r="N27" i="15"/>
  <c r="M27" i="15"/>
  <c r="M21" i="15"/>
  <c r="N21" i="15"/>
  <c r="T17" i="15"/>
  <c r="C23" i="15"/>
  <c r="E25" i="15" s="1"/>
  <c r="E29" i="15" s="1"/>
  <c r="C22" i="15"/>
  <c r="D25" i="15" s="1"/>
  <c r="D29" i="15" s="1"/>
  <c r="H25" i="15"/>
  <c r="H29" i="15" s="1"/>
  <c r="R27" i="15"/>
  <c r="R22" i="15"/>
  <c r="R21" i="15"/>
  <c r="R23" i="15"/>
  <c r="C29" i="15"/>
  <c r="E31" i="15" s="1"/>
  <c r="E32" i="15" s="1"/>
  <c r="E33" i="15" s="1"/>
  <c r="T16" i="15"/>
  <c r="R3" i="15"/>
  <c r="S15" i="15"/>
  <c r="J25" i="15"/>
  <c r="J29" i="15" s="1"/>
  <c r="S16" i="15"/>
  <c r="S3" i="15"/>
  <c r="R23" i="14"/>
  <c r="J25" i="14"/>
  <c r="J29" i="14" s="1"/>
  <c r="R27" i="14"/>
  <c r="R21" i="14"/>
  <c r="T17" i="14"/>
  <c r="T22" i="14" s="1"/>
  <c r="I29" i="14"/>
  <c r="J31" i="14" s="1"/>
  <c r="J32" i="14" s="1"/>
  <c r="J33" i="14" s="1"/>
  <c r="S21" i="14"/>
  <c r="S22" i="14"/>
  <c r="S27" i="14"/>
  <c r="S23" i="14"/>
  <c r="D25" i="14"/>
  <c r="D29" i="14" s="1"/>
  <c r="N22" i="14"/>
  <c r="N27" i="14"/>
  <c r="N23" i="14"/>
  <c r="N21" i="14"/>
  <c r="S16" i="14"/>
  <c r="S3" i="14"/>
  <c r="M22" i="14"/>
  <c r="M23" i="14"/>
  <c r="M27" i="14"/>
  <c r="M21" i="14"/>
  <c r="C25" i="14"/>
  <c r="C29" i="14" s="1"/>
  <c r="R3" i="14"/>
  <c r="S15" i="14"/>
  <c r="E25" i="14"/>
  <c r="E29" i="14" s="1"/>
  <c r="E23" i="13"/>
  <c r="E22" i="13"/>
  <c r="E21" i="13"/>
  <c r="T15" i="13"/>
  <c r="R23" i="13" s="1"/>
  <c r="H25" i="13"/>
  <c r="H29" i="13" s="1"/>
  <c r="C21" i="13"/>
  <c r="C25" i="13" s="1"/>
  <c r="C29" i="13" s="1"/>
  <c r="S27" i="13"/>
  <c r="C23" i="13"/>
  <c r="C27" i="13"/>
  <c r="S23" i="13"/>
  <c r="S21" i="13"/>
  <c r="T17" i="13"/>
  <c r="D25" i="13"/>
  <c r="D29" i="13" s="1"/>
  <c r="J25" i="13"/>
  <c r="J29" i="13" s="1"/>
  <c r="M22" i="13"/>
  <c r="N25" i="13" s="1"/>
  <c r="N29" i="13" s="1"/>
  <c r="M27" i="13"/>
  <c r="M23" i="13"/>
  <c r="O25" i="13" s="1"/>
  <c r="O29" i="13" s="1"/>
  <c r="M21" i="13"/>
  <c r="M25" i="13" s="1"/>
  <c r="S16" i="13"/>
  <c r="S3" i="13"/>
  <c r="R3" i="13"/>
  <c r="S15" i="13"/>
  <c r="I25" i="13"/>
  <c r="I29" i="13" s="1"/>
  <c r="S21" i="7"/>
  <c r="T15" i="7"/>
  <c r="R27" i="7" s="1"/>
  <c r="S23" i="7"/>
  <c r="S22" i="7"/>
  <c r="T27" i="7"/>
  <c r="T21" i="7"/>
  <c r="T23" i="7"/>
  <c r="T22" i="7"/>
  <c r="C21" i="7"/>
  <c r="C25" i="7" s="1"/>
  <c r="C27" i="7"/>
  <c r="E25" i="7"/>
  <c r="E29" i="7" s="1"/>
  <c r="S15" i="7"/>
  <c r="R3" i="7"/>
  <c r="I25" i="7"/>
  <c r="I29" i="7" s="1"/>
  <c r="M22" i="7"/>
  <c r="M27" i="7"/>
  <c r="M23" i="7"/>
  <c r="M21" i="7"/>
  <c r="N22" i="7"/>
  <c r="N27" i="7"/>
  <c r="N23" i="7"/>
  <c r="N21" i="7"/>
  <c r="H25" i="7"/>
  <c r="H29" i="7" s="1"/>
  <c r="J25" i="7"/>
  <c r="J29" i="7" s="1"/>
  <c r="D25" i="7"/>
  <c r="D29" i="7" s="1"/>
  <c r="X21" i="4"/>
  <c r="V29" i="4"/>
  <c r="K25" i="5"/>
  <c r="W3" i="4"/>
  <c r="W18" i="4"/>
  <c r="R17" i="4"/>
  <c r="K27" i="5"/>
  <c r="V3" i="4"/>
  <c r="W17" i="4"/>
  <c r="O8" i="2"/>
  <c r="P11" i="2" s="1"/>
  <c r="O2" i="2"/>
  <c r="O11" i="2"/>
  <c r="S31" i="5"/>
  <c r="T3" i="3"/>
  <c r="S17" i="3"/>
  <c r="K24" i="5"/>
  <c r="Z24" i="5"/>
  <c r="N26" i="5"/>
  <c r="Z28" i="5"/>
  <c r="P23" i="4"/>
  <c r="P21" i="4"/>
  <c r="P24" i="4"/>
  <c r="P27" i="4"/>
  <c r="P22" i="4"/>
  <c r="R18" i="4"/>
  <c r="Q22" i="4" s="1"/>
  <c r="J29" i="4"/>
  <c r="L23" i="4"/>
  <c r="L22" i="4"/>
  <c r="L24" i="4"/>
  <c r="L21" i="4"/>
  <c r="X22" i="4"/>
  <c r="L18" i="4"/>
  <c r="X23" i="4"/>
  <c r="L16" i="4"/>
  <c r="I23" i="4" s="1"/>
  <c r="L17" i="4"/>
  <c r="J22" i="4" s="1"/>
  <c r="C25" i="5"/>
  <c r="E30" i="5"/>
  <c r="G28" i="5"/>
  <c r="X26" i="5"/>
  <c r="E24" i="5"/>
  <c r="E32" i="5"/>
  <c r="D26" i="5"/>
  <c r="E31" i="5"/>
  <c r="N25" i="5"/>
  <c r="N24" i="5"/>
  <c r="Q24" i="5"/>
  <c r="Q26" i="5"/>
  <c r="X27" i="5"/>
  <c r="X33" i="5" s="1"/>
  <c r="AB33" i="5" s="1"/>
  <c r="L34" i="5"/>
  <c r="G27" i="5"/>
  <c r="G24" i="5"/>
  <c r="G26" i="5"/>
  <c r="N27" i="5"/>
  <c r="Q28" i="5"/>
  <c r="O23" i="3"/>
  <c r="O27" i="3"/>
  <c r="O21" i="3"/>
  <c r="O22" i="3"/>
  <c r="M21" i="3"/>
  <c r="M22" i="3"/>
  <c r="M23" i="3"/>
  <c r="M27" i="3"/>
  <c r="N22" i="3"/>
  <c r="N23" i="3"/>
  <c r="N27" i="3"/>
  <c r="N21" i="3"/>
  <c r="X24" i="5"/>
  <c r="X28" i="5"/>
  <c r="X34" i="5" s="1"/>
  <c r="AB34" i="5" s="1"/>
  <c r="Z30" i="5"/>
  <c r="AB28" i="5"/>
  <c r="Z25" i="5"/>
  <c r="Z26" i="5"/>
  <c r="AB25" i="5"/>
  <c r="AB27" i="5"/>
  <c r="AB26" i="5"/>
  <c r="Z32" i="5"/>
  <c r="AB24" i="5"/>
  <c r="X32" i="5"/>
  <c r="X31" i="5"/>
  <c r="AB31" i="5" s="1"/>
  <c r="T27" i="5"/>
  <c r="S33" i="5"/>
  <c r="T26" i="5"/>
  <c r="Q32" i="5" s="1"/>
  <c r="U32" i="5" s="1"/>
  <c r="T28" i="5"/>
  <c r="Q34" i="5" s="1"/>
  <c r="U34" i="5" s="1"/>
  <c r="T25" i="5"/>
  <c r="T24" i="5"/>
  <c r="S34" i="5"/>
  <c r="U26" i="5"/>
  <c r="U27" i="5"/>
  <c r="U25" i="5"/>
  <c r="U28" i="5"/>
  <c r="U24" i="5"/>
  <c r="Q33" i="5"/>
  <c r="L27" i="5"/>
  <c r="J33" i="5" s="1"/>
  <c r="N33" i="5" s="1"/>
  <c r="L32" i="5"/>
  <c r="L26" i="5"/>
  <c r="J32" i="5" s="1"/>
  <c r="L28" i="5"/>
  <c r="J34" i="5" s="1"/>
  <c r="N34" i="5" s="1"/>
  <c r="L25" i="5"/>
  <c r="L24" i="5"/>
  <c r="D25" i="5"/>
  <c r="C26" i="5"/>
  <c r="E25" i="5"/>
  <c r="D27" i="5"/>
  <c r="C27" i="5"/>
  <c r="C24" i="5"/>
  <c r="C30" i="5" s="1"/>
  <c r="C28" i="5"/>
  <c r="E27" i="5"/>
  <c r="E28" i="5"/>
  <c r="E26" i="5"/>
  <c r="F17" i="4"/>
  <c r="D24" i="4" s="1"/>
  <c r="H23" i="3"/>
  <c r="H21" i="3"/>
  <c r="H27" i="3"/>
  <c r="H22" i="3"/>
  <c r="V26" i="4"/>
  <c r="U24" i="4"/>
  <c r="U29" i="4" s="1"/>
  <c r="X29" i="4" s="1"/>
  <c r="U23" i="4"/>
  <c r="U28" i="4" s="1"/>
  <c r="U22" i="4"/>
  <c r="U27" i="4" s="1"/>
  <c r="U21" i="4"/>
  <c r="U26" i="4" s="1"/>
  <c r="X26" i="4" s="1"/>
  <c r="X31" i="4" s="1"/>
  <c r="X32" i="4" s="1"/>
  <c r="X33" i="4" s="1"/>
  <c r="V24" i="4"/>
  <c r="V23" i="4"/>
  <c r="V22" i="4"/>
  <c r="V21" i="4"/>
  <c r="V27" i="4"/>
  <c r="W24" i="4"/>
  <c r="W23" i="4"/>
  <c r="W22" i="4"/>
  <c r="W21" i="4"/>
  <c r="V28" i="4"/>
  <c r="P29" i="4"/>
  <c r="R24" i="4"/>
  <c r="R22" i="4"/>
  <c r="R21" i="4"/>
  <c r="R23" i="4"/>
  <c r="O24" i="4"/>
  <c r="O22" i="4"/>
  <c r="P26" i="4"/>
  <c r="O23" i="4"/>
  <c r="O21" i="4"/>
  <c r="K24" i="4"/>
  <c r="K23" i="4"/>
  <c r="K22" i="4"/>
  <c r="K21" i="4"/>
  <c r="J28" i="4"/>
  <c r="F18" i="4"/>
  <c r="D28" i="4" s="1"/>
  <c r="F16" i="4"/>
  <c r="C21" i="4" s="1"/>
  <c r="D27" i="4"/>
  <c r="F19" i="4"/>
  <c r="F23" i="4" s="1"/>
  <c r="R13" i="3"/>
  <c r="E15" i="3"/>
  <c r="C27" i="3" s="1"/>
  <c r="R11" i="3"/>
  <c r="E16" i="3"/>
  <c r="D22" i="3" s="1"/>
  <c r="E21" i="3"/>
  <c r="E27" i="3"/>
  <c r="E23" i="3"/>
  <c r="D11" i="2"/>
  <c r="P8" i="2"/>
  <c r="M25" i="15" l="1"/>
  <c r="F47" i="1"/>
  <c r="Q47" i="1" s="1"/>
  <c r="Q37" i="1"/>
  <c r="N29" i="15"/>
  <c r="S27" i="15"/>
  <c r="F28" i="1"/>
  <c r="T21" i="15"/>
  <c r="F29" i="1"/>
  <c r="O31" i="17"/>
  <c r="O32" i="17" s="1"/>
  <c r="O33" i="17" s="1"/>
  <c r="E31" i="17"/>
  <c r="E32" i="17" s="1"/>
  <c r="E33" i="17" s="1"/>
  <c r="S21" i="17"/>
  <c r="S22" i="17"/>
  <c r="S25" i="17" s="1"/>
  <c r="R23" i="17"/>
  <c r="T25" i="17" s="1"/>
  <c r="T29" i="17" s="1"/>
  <c r="R27" i="17"/>
  <c r="R21" i="17"/>
  <c r="S27" i="17"/>
  <c r="J25" i="17"/>
  <c r="J29" i="17" s="1"/>
  <c r="H25" i="17"/>
  <c r="H29" i="17" s="1"/>
  <c r="I25" i="17"/>
  <c r="I29" i="17" s="1"/>
  <c r="O25" i="16"/>
  <c r="O29" i="16" s="1"/>
  <c r="N29" i="16"/>
  <c r="O31" i="16" s="1"/>
  <c r="O32" i="16" s="1"/>
  <c r="O33" i="16" s="1"/>
  <c r="R25" i="16"/>
  <c r="R29" i="16" s="1"/>
  <c r="S25" i="16"/>
  <c r="S29" i="16" s="1"/>
  <c r="T25" i="16"/>
  <c r="T29" i="16" s="1"/>
  <c r="E31" i="16"/>
  <c r="E32" i="16" s="1"/>
  <c r="E33" i="16" s="1"/>
  <c r="J31" i="16"/>
  <c r="J32" i="16" s="1"/>
  <c r="J33" i="16" s="1"/>
  <c r="M29" i="15"/>
  <c r="T23" i="15"/>
  <c r="T22" i="15"/>
  <c r="T27" i="15"/>
  <c r="J31" i="15"/>
  <c r="J32" i="15" s="1"/>
  <c r="J33" i="15" s="1"/>
  <c r="S21" i="15"/>
  <c r="S23" i="15"/>
  <c r="S22" i="15"/>
  <c r="N25" i="14"/>
  <c r="N29" i="14" s="1"/>
  <c r="T21" i="14"/>
  <c r="T27" i="14"/>
  <c r="T23" i="14"/>
  <c r="T25" i="14" s="1"/>
  <c r="T29" i="14" s="1"/>
  <c r="R25" i="14"/>
  <c r="R29" i="14" s="1"/>
  <c r="S25" i="14"/>
  <c r="S29" i="14" s="1"/>
  <c r="T31" i="14" s="1"/>
  <c r="T32" i="14" s="1"/>
  <c r="T33" i="14" s="1"/>
  <c r="E31" i="14"/>
  <c r="E32" i="14" s="1"/>
  <c r="E33" i="14" s="1"/>
  <c r="M25" i="14"/>
  <c r="M29" i="14" s="1"/>
  <c r="O25" i="14"/>
  <c r="O29" i="14" s="1"/>
  <c r="M29" i="13"/>
  <c r="R27" i="13"/>
  <c r="O31" i="13"/>
  <c r="O32" i="13" s="1"/>
  <c r="O33" i="13" s="1"/>
  <c r="R21" i="13"/>
  <c r="E25" i="13"/>
  <c r="E29" i="13" s="1"/>
  <c r="R22" i="13"/>
  <c r="E31" i="13"/>
  <c r="E32" i="13" s="1"/>
  <c r="E33" i="13" s="1"/>
  <c r="T27" i="13"/>
  <c r="T23" i="13"/>
  <c r="T25" i="13" s="1"/>
  <c r="T22" i="13"/>
  <c r="T21" i="13"/>
  <c r="J31" i="13"/>
  <c r="J32" i="13" s="1"/>
  <c r="J33" i="13" s="1"/>
  <c r="M25" i="7"/>
  <c r="M29" i="7" s="1"/>
  <c r="O25" i="7"/>
  <c r="O29" i="7" s="1"/>
  <c r="R22" i="7"/>
  <c r="S25" i="7" s="1"/>
  <c r="S29" i="7" s="1"/>
  <c r="R21" i="7"/>
  <c r="R25" i="7" s="1"/>
  <c r="R29" i="7" s="1"/>
  <c r="R23" i="7"/>
  <c r="T25" i="7" s="1"/>
  <c r="T29" i="7" s="1"/>
  <c r="C29" i="7"/>
  <c r="E31" i="7" s="1"/>
  <c r="E32" i="7" s="1"/>
  <c r="E33" i="7" s="1"/>
  <c r="N25" i="7"/>
  <c r="N29" i="7" s="1"/>
  <c r="O31" i="7" s="1"/>
  <c r="O32" i="7" s="1"/>
  <c r="O33" i="7" s="1"/>
  <c r="J31" i="7"/>
  <c r="J32" i="7" s="1"/>
  <c r="J33" i="7" s="1"/>
  <c r="N32" i="5"/>
  <c r="Q30" i="5"/>
  <c r="U30" i="5" s="1"/>
  <c r="I22" i="4"/>
  <c r="G30" i="5"/>
  <c r="U33" i="5"/>
  <c r="J23" i="4"/>
  <c r="I24" i="4"/>
  <c r="I29" i="4" s="1"/>
  <c r="L29" i="4" s="1"/>
  <c r="Q31" i="5"/>
  <c r="U31" i="5" s="1"/>
  <c r="U36" i="5" s="1"/>
  <c r="U37" i="5" s="1"/>
  <c r="U38" i="5" s="1"/>
  <c r="C33" i="5"/>
  <c r="G33" i="5" s="1"/>
  <c r="J26" i="4"/>
  <c r="J21" i="4"/>
  <c r="I21" i="4"/>
  <c r="I26" i="4" s="1"/>
  <c r="L26" i="4" s="1"/>
  <c r="L31" i="4" s="1"/>
  <c r="L32" i="4" s="1"/>
  <c r="L33" i="4" s="1"/>
  <c r="Q23" i="4"/>
  <c r="O28" i="4"/>
  <c r="P28" i="4"/>
  <c r="Q24" i="4"/>
  <c r="O29" i="4" s="1"/>
  <c r="R29" i="4" s="1"/>
  <c r="Q21" i="4"/>
  <c r="O26" i="4" s="1"/>
  <c r="R26" i="4" s="1"/>
  <c r="O27" i="4"/>
  <c r="R27" i="4" s="1"/>
  <c r="J27" i="4"/>
  <c r="J24" i="4"/>
  <c r="I27" i="4"/>
  <c r="L27" i="4" s="1"/>
  <c r="I28" i="4"/>
  <c r="L28" i="4" s="1"/>
  <c r="C32" i="5"/>
  <c r="G32" i="5" s="1"/>
  <c r="C31" i="5"/>
  <c r="G31" i="5" s="1"/>
  <c r="J30" i="5"/>
  <c r="N30" i="5" s="1"/>
  <c r="N36" i="5" s="1"/>
  <c r="N37" i="5" s="1"/>
  <c r="N38" i="5" s="1"/>
  <c r="C34" i="5"/>
  <c r="G34" i="5" s="1"/>
  <c r="J31" i="5"/>
  <c r="N31" i="5" s="1"/>
  <c r="M25" i="3"/>
  <c r="M29" i="3" s="1"/>
  <c r="O25" i="3"/>
  <c r="O29" i="3" s="1"/>
  <c r="N25" i="3"/>
  <c r="N29" i="3" s="1"/>
  <c r="X30" i="5"/>
  <c r="AB30" i="5" s="1"/>
  <c r="AB36" i="5" s="1"/>
  <c r="AB37" i="5" s="1"/>
  <c r="AB38" i="5" s="1"/>
  <c r="AB32" i="5"/>
  <c r="D21" i="4"/>
  <c r="D22" i="4"/>
  <c r="D23" i="4"/>
  <c r="E21" i="4"/>
  <c r="C21" i="3"/>
  <c r="D23" i="3"/>
  <c r="D21" i="3"/>
  <c r="D27" i="3"/>
  <c r="X27" i="4"/>
  <c r="X28" i="4"/>
  <c r="E24" i="4"/>
  <c r="E23" i="4"/>
  <c r="E22" i="4"/>
  <c r="C23" i="4"/>
  <c r="C22" i="4"/>
  <c r="C24" i="4"/>
  <c r="D26" i="4"/>
  <c r="F22" i="4"/>
  <c r="F21" i="4"/>
  <c r="D29" i="4"/>
  <c r="F24" i="4"/>
  <c r="C22" i="3"/>
  <c r="D25" i="3" s="1"/>
  <c r="C23" i="3"/>
  <c r="R25" i="15" l="1"/>
  <c r="R29" i="15" s="1"/>
  <c r="O31" i="15"/>
  <c r="O32" i="15" s="1"/>
  <c r="O33" i="15" s="1"/>
  <c r="T25" i="15"/>
  <c r="T29" i="15" s="1"/>
  <c r="F88" i="1"/>
  <c r="Q88" i="1" s="1"/>
  <c r="F38" i="1"/>
  <c r="Q118" i="1"/>
  <c r="F68" i="1"/>
  <c r="Q68" i="1" s="1"/>
  <c r="F78" i="1"/>
  <c r="Q78" i="1" s="1"/>
  <c r="Q28" i="1"/>
  <c r="F58" i="1"/>
  <c r="Q58" i="1" s="1"/>
  <c r="F69" i="1"/>
  <c r="Q69" i="1" s="1"/>
  <c r="Q119" i="1"/>
  <c r="Q29" i="1"/>
  <c r="F39" i="1"/>
  <c r="F59" i="1"/>
  <c r="Q59" i="1" s="1"/>
  <c r="F79" i="1"/>
  <c r="Q79" i="1" s="1"/>
  <c r="F89" i="1"/>
  <c r="Q89" i="1" s="1"/>
  <c r="S25" i="15"/>
  <c r="S29" i="15" s="1"/>
  <c r="S29" i="17"/>
  <c r="R25" i="17"/>
  <c r="R29" i="17" s="1"/>
  <c r="T31" i="17" s="1"/>
  <c r="T32" i="17" s="1"/>
  <c r="T33" i="17" s="1"/>
  <c r="J31" i="17"/>
  <c r="J32" i="17" s="1"/>
  <c r="J33" i="17" s="1"/>
  <c r="T31" i="16"/>
  <c r="T32" i="16" s="1"/>
  <c r="T33" i="16" s="1"/>
  <c r="O31" i="14"/>
  <c r="O32" i="14" s="1"/>
  <c r="O33" i="14" s="1"/>
  <c r="R25" i="13"/>
  <c r="S25" i="13"/>
  <c r="S29" i="13" s="1"/>
  <c r="R29" i="13"/>
  <c r="T29" i="13"/>
  <c r="T31" i="7"/>
  <c r="T32" i="7" s="1"/>
  <c r="T33" i="7" s="1"/>
  <c r="G36" i="5"/>
  <c r="G37" i="5" s="1"/>
  <c r="G38" i="5" s="1"/>
  <c r="D29" i="3"/>
  <c r="R28" i="4"/>
  <c r="R31" i="4" s="1"/>
  <c r="R32" i="4" s="1"/>
  <c r="R33" i="4" s="1"/>
  <c r="O31" i="3"/>
  <c r="O32" i="3" s="1"/>
  <c r="O33" i="3" s="1"/>
  <c r="C28" i="4"/>
  <c r="F28" i="4" s="1"/>
  <c r="C26" i="4"/>
  <c r="F26" i="4" s="1"/>
  <c r="C25" i="3"/>
  <c r="E25" i="3"/>
  <c r="E29" i="3" s="1"/>
  <c r="C27" i="4"/>
  <c r="F27" i="4" s="1"/>
  <c r="C29" i="4"/>
  <c r="F29" i="4" s="1"/>
  <c r="C29" i="3"/>
  <c r="T31" i="15" l="1"/>
  <c r="T32" i="15" s="1"/>
  <c r="T33" i="15" s="1"/>
  <c r="F49" i="1"/>
  <c r="Q49" i="1" s="1"/>
  <c r="Q39" i="1"/>
  <c r="Q38" i="1"/>
  <c r="F48" i="1"/>
  <c r="Q48" i="1" s="1"/>
  <c r="T31" i="13"/>
  <c r="T32" i="13" s="1"/>
  <c r="T33" i="13" s="1"/>
  <c r="E31" i="3"/>
  <c r="E32" i="3"/>
  <c r="E33" i="3" s="1"/>
  <c r="F31" i="4"/>
  <c r="F32" i="4" s="1"/>
  <c r="F33" i="4" s="1"/>
  <c r="T6" i="3"/>
  <c r="S5" i="3"/>
  <c r="J23" i="3"/>
  <c r="I22" i="3"/>
  <c r="I23" i="3"/>
  <c r="S6" i="3"/>
  <c r="T4" i="3"/>
  <c r="I21" i="3"/>
  <c r="T5" i="3"/>
  <c r="S4" i="3"/>
  <c r="J22" i="3"/>
  <c r="J21" i="3"/>
  <c r="S8" i="3" l="1"/>
  <c r="T8" i="3"/>
  <c r="T13" i="3" s="1"/>
  <c r="S12" i="3"/>
  <c r="T16" i="3" s="1"/>
  <c r="S22" i="3" s="1"/>
  <c r="H25" i="3"/>
  <c r="H29" i="3" s="1"/>
  <c r="J25" i="3"/>
  <c r="J29" i="3" s="1"/>
  <c r="S13" i="3"/>
  <c r="T17" i="3" s="1"/>
  <c r="T22" i="3" s="1"/>
  <c r="S11" i="3"/>
  <c r="T15" i="3" s="1"/>
  <c r="I25" i="3"/>
  <c r="I29" i="3" s="1"/>
  <c r="J31" i="3" l="1"/>
  <c r="J32" i="3" s="1"/>
  <c r="J33" i="3" s="1"/>
  <c r="R22" i="3"/>
  <c r="S25" i="3" s="1"/>
  <c r="R23" i="3"/>
  <c r="R27" i="3"/>
  <c r="R21" i="3"/>
  <c r="T21" i="3"/>
  <c r="S27" i="3"/>
  <c r="S21" i="3"/>
  <c r="T27" i="3"/>
  <c r="T23" i="3"/>
  <c r="S23" i="3"/>
  <c r="T11" i="3"/>
  <c r="T12" i="3"/>
  <c r="R25" i="3" l="1"/>
  <c r="R29" i="3" s="1"/>
  <c r="T25" i="3"/>
  <c r="T29" i="3" s="1"/>
  <c r="S29" i="3"/>
  <c r="T31" i="3" l="1"/>
  <c r="T32" i="3" s="1"/>
  <c r="T33" i="3" s="1"/>
</calcChain>
</file>

<file path=xl/sharedStrings.xml><?xml version="1.0" encoding="utf-8"?>
<sst xmlns="http://schemas.openxmlformats.org/spreadsheetml/2006/main" count="1625" uniqueCount="222">
  <si>
    <t>Financije</t>
  </si>
  <si>
    <t>Posao</t>
  </si>
  <si>
    <t>UP</t>
  </si>
  <si>
    <t>P</t>
  </si>
  <si>
    <t>B</t>
  </si>
  <si>
    <t>F</t>
  </si>
  <si>
    <t>T</t>
  </si>
  <si>
    <t>G</t>
  </si>
  <si>
    <t>P1</t>
  </si>
  <si>
    <t>P2</t>
  </si>
  <si>
    <t>P3</t>
  </si>
  <si>
    <t>TABLICA ODLUČIVANJA</t>
  </si>
  <si>
    <t>6 k</t>
  </si>
  <si>
    <t>5 k</t>
  </si>
  <si>
    <t>7 k</t>
  </si>
  <si>
    <t>TABLICA PRIORITETA</t>
  </si>
  <si>
    <t>e1</t>
  </si>
  <si>
    <t>e2</t>
  </si>
  <si>
    <t>e3</t>
  </si>
  <si>
    <t>konzistentnost</t>
  </si>
  <si>
    <t>lambda</t>
  </si>
  <si>
    <t>CI</t>
  </si>
  <si>
    <t>CR</t>
  </si>
  <si>
    <t>e4</t>
  </si>
  <si>
    <t>e5</t>
  </si>
  <si>
    <t>Manje od 10 % usporedivih organizacija koristi AI savjetovanje. Sustav omogućuje dostupnost 24/7 bez povećanja broja zaposlenika.</t>
  </si>
  <si>
    <t>Usluga uvodi AI tehnologiju u savjetovanje i povećava digitalnu prepoznatljivost organizacije kod 30–40 % novih korisnika.</t>
  </si>
  <si>
    <t>Dostupan 24/7 i omogućava trenutačne odgovore na pitanja korisnika. Eliminira čekanje na ljudskog stručnjaka.</t>
  </si>
  <si>
    <t>Omogućuje rješavanje upita u roku od nekoliko sekundi, uz pokrivenost 70–80 % standardnih korisničkih pitanja bez uključivanja zaposlenika.</t>
  </si>
  <si>
    <t>Automatski obrađuje upite, generira odgovore, analizira podatke i smanjuje potrebu za ručnim objašnjavanjem propisa i procedura.</t>
  </si>
  <si>
    <t>Sustav samostalno rješava 70–80 % korisničkih upita bez uključivanja zaposlenika, ljudska intervencija potrebna je samo za složene slučajeve.</t>
  </si>
  <si>
    <t>Za operativno funkcioniranje potreban je 1 zaposlenik za nadzor sustava i povremene korekcije modela.</t>
  </si>
  <si>
    <t>Implementacija traje približno 6–9 mjeseci i uključuje treniranje AI modela, pripremu podataka i postavljanje sigurnosnih mehanizama.</t>
  </si>
  <si>
    <t>Potrebna je integracija s internim bazama podataka i CRM sustavom, uz kontinuirano ažuriranje informacija i zaštitu osjetljivih podataka.</t>
  </si>
  <si>
    <t>Portal smanjuje administrativne upite klijenata za 30–40 % i skraćuje komunikaciju tijekom certifikacije.</t>
  </si>
  <si>
    <t>Digitalni portal povećava percepciju profesionalnosti i transparentnosti procesa kod većine poslovnih klijenata.</t>
  </si>
  <si>
    <t>Omogućuje klijentima pristup dokumentaciji, praćenju statusa i preuzimanju certifikata bilo kada i s bilo kojeg uređaja.</t>
  </si>
  <si>
    <t>Klijenti samostalno rješavaju većinu administrativnih pitanja, čime se broj upita prema zaposlenicima smanjuje za 30–40 %.</t>
  </si>
  <si>
    <t>Automatizira procese poput učitavanja dokumentacije, pregleda statusa i preuzimanja certifikata, čime uklanja veliku količinu ručnog administrativnog rada.</t>
  </si>
  <si>
    <t>Klijenti samostalno obavljaju 60–70 % administrativnih radnji poput predaje dokumentacije i praćenja statusa.</t>
  </si>
  <si>
    <t>Smanjuje potrebu za administracijom za 1–2 zaposlenika u odnosu na AS IS stanje.</t>
  </si>
  <si>
    <t>Implementacija traje oko 3–4 mjeseca i uključuje razvoj korisničkog sučelja te funkcionalnosti za upravljanje dokumentima i statusima.</t>
  </si>
  <si>
    <t>Portal se povezuje s bazom klijenata i certifikacijskim sustavom, a integracija je izvediva uz postojeću IT infrastrukturu.</t>
  </si>
  <si>
    <t>Jedan edukator može voditi radionicu za 20–50 sudionika, čime se povećava doseg usluge bez dodatnih troškova.</t>
  </si>
  <si>
    <t>Online radionice povećavaju vidljivost organizacije u B2C segmentu i omogućuju kontinuiranu digitalnu prisutnost.</t>
  </si>
  <si>
    <t>Omogućuju sudjelovanje neovisno o lokaciji i vremenu, što značajno proširuje dostupnost tradicionalnih radionica.</t>
  </si>
  <si>
    <t>Omogućuju strukturirano usvajanje znanja kroz digitalne materijale, pri čemu jedan edukator može istovremeno podržati 20–50 sudionika.</t>
  </si>
  <si>
    <t>Automatizirano slanje materijala, potvrda o sudjelovanju i praćenje napretka kroz LMS sustav.</t>
  </si>
  <si>
    <t>Automatizirano je približno 50 % procesa, uključujući prijave, materijale i izdavanje potvrda, dok edukator sudjeluje u izvođenju sadržaja.</t>
  </si>
  <si>
    <t>Za provedbu je potreban 1 edukator, dok se administrativni poslovi obavljaju bez dodatnog osoblja.</t>
  </si>
  <si>
    <t>Implementacija traje 1–2 mjeseca jer se temelji na postojećem LMS sustavu i dostupnim edukacijskim materijalima.</t>
  </si>
  <si>
    <t>Integracija se svodi na povezivanje LMS-a s korisničkom bazom i sustavom za naplatu.</t>
  </si>
  <si>
    <t>K1</t>
  </si>
  <si>
    <t>K2</t>
  </si>
  <si>
    <t>K3</t>
  </si>
  <si>
    <t>K4</t>
  </si>
  <si>
    <t>K5</t>
  </si>
  <si>
    <t>K6</t>
  </si>
  <si>
    <t>trošak impl</t>
  </si>
  <si>
    <t>roi</t>
  </si>
  <si>
    <t>trošak održ</t>
  </si>
  <si>
    <t>konk pred</t>
  </si>
  <si>
    <t>prep i inv</t>
  </si>
  <si>
    <t>dost</t>
  </si>
  <si>
    <t>učink</t>
  </si>
  <si>
    <t>vrijeme</t>
  </si>
  <si>
    <t>auto</t>
  </si>
  <si>
    <t>podrška</t>
  </si>
  <si>
    <t>broj ljudi</t>
  </si>
  <si>
    <t>impl</t>
  </si>
  <si>
    <t>integ</t>
  </si>
  <si>
    <t>50k</t>
  </si>
  <si>
    <t>30k</t>
  </si>
  <si>
    <t>10k</t>
  </si>
  <si>
    <t>6k</t>
  </si>
  <si>
    <t>3k</t>
  </si>
  <si>
    <t>K</t>
  </si>
  <si>
    <t>U</t>
  </si>
  <si>
    <t>PK</t>
  </si>
  <si>
    <t>PK1.1</t>
  </si>
  <si>
    <t>PK1.2</t>
  </si>
  <si>
    <t>PK1.3</t>
  </si>
  <si>
    <t>PK2.1</t>
  </si>
  <si>
    <t>PK2.2</t>
  </si>
  <si>
    <t>PK3.1</t>
  </si>
  <si>
    <t>PK3.2</t>
  </si>
  <si>
    <t>PK4.1</t>
  </si>
  <si>
    <t>PK4.2</t>
  </si>
  <si>
    <t>PK5.1</t>
  </si>
  <si>
    <t>PK5.2</t>
  </si>
  <si>
    <t>PK6.1</t>
  </si>
  <si>
    <t>PK6.2</t>
  </si>
  <si>
    <t>U1</t>
  </si>
  <si>
    <t>U2</t>
  </si>
  <si>
    <t>U3</t>
  </si>
  <si>
    <t>e6</t>
  </si>
  <si>
    <t>fin</t>
  </si>
  <si>
    <t>rep</t>
  </si>
  <si>
    <t>zad</t>
  </si>
  <si>
    <t>ubrz</t>
  </si>
  <si>
    <t>ljudi</t>
  </si>
  <si>
    <t>teh</t>
  </si>
  <si>
    <t>USLUGE</t>
  </si>
  <si>
    <t>AO</t>
  </si>
  <si>
    <t>K1-5%</t>
  </si>
  <si>
    <t>K1+5%</t>
  </si>
  <si>
    <t>K2-5%</t>
  </si>
  <si>
    <t>K2+5%</t>
  </si>
  <si>
    <t>K3-5%</t>
  </si>
  <si>
    <t>K3+5%</t>
  </si>
  <si>
    <t>AO: K1-5%</t>
  </si>
  <si>
    <t>1.</t>
  </si>
  <si>
    <t>2.</t>
  </si>
  <si>
    <t>3.</t>
  </si>
  <si>
    <t>PROMJENE U PORETKU</t>
  </si>
  <si>
    <t>nema</t>
  </si>
  <si>
    <t>AO: K1+5%</t>
  </si>
  <si>
    <t>AO: K2-5%</t>
  </si>
  <si>
    <t>AO: K2+5%</t>
  </si>
  <si>
    <t>AO: K3-5%</t>
  </si>
  <si>
    <t>AO: K3+5%</t>
  </si>
  <si>
    <t>AO: K4-5%</t>
  </si>
  <si>
    <t>AO: K4+5%</t>
  </si>
  <si>
    <t>AO: K5-5%</t>
  </si>
  <si>
    <t>AO: K5+5%</t>
  </si>
  <si>
    <t>AO: K6-5%</t>
  </si>
  <si>
    <t>AO: K6+5%</t>
  </si>
  <si>
    <t>K4-5%</t>
  </si>
  <si>
    <t>K4+5%</t>
  </si>
  <si>
    <t>K5-5%</t>
  </si>
  <si>
    <t>K5+5%</t>
  </si>
  <si>
    <t>K6-5%</t>
  </si>
  <si>
    <t>K6+5%</t>
  </si>
  <si>
    <t xml:space="preserve"> </t>
  </si>
  <si>
    <t>PROMJENE</t>
  </si>
  <si>
    <t>PROCESI</t>
  </si>
  <si>
    <t>K1-0,05</t>
  </si>
  <si>
    <t>NEMA</t>
  </si>
  <si>
    <t>K1+0,05</t>
  </si>
  <si>
    <t>K2-0,05</t>
  </si>
  <si>
    <t>K2+0,05</t>
  </si>
  <si>
    <t>K3-0,05</t>
  </si>
  <si>
    <t>PK6.3</t>
  </si>
  <si>
    <t>K3+0,05</t>
  </si>
  <si>
    <t>K4-0,05</t>
  </si>
  <si>
    <t>K4+0,05</t>
  </si>
  <si>
    <t>K5-0,05</t>
  </si>
  <si>
    <t>K5+0,05</t>
  </si>
  <si>
    <t>K6-0,05</t>
  </si>
  <si>
    <t>K6+0,05</t>
  </si>
  <si>
    <t>AO: K1-0,05</t>
  </si>
  <si>
    <t>AO: K4-0,05</t>
  </si>
  <si>
    <t>AO: K1+0,05</t>
  </si>
  <si>
    <t>AO:K4+0.05</t>
  </si>
  <si>
    <t>AO: K2-0,05</t>
  </si>
  <si>
    <t>AO:K5-0.05</t>
  </si>
  <si>
    <t>AO: K2+0,05</t>
  </si>
  <si>
    <t>AO:K5+0.05</t>
  </si>
  <si>
    <t>AO: K3-0,05</t>
  </si>
  <si>
    <t>AO:K6-0.05</t>
  </si>
  <si>
    <t>AO: K3+0,05</t>
  </si>
  <si>
    <t>AO:K6+0.05</t>
  </si>
  <si>
    <t>popunjavamo</t>
  </si>
  <si>
    <t>financije</t>
  </si>
  <si>
    <t>kvaliteta</t>
  </si>
  <si>
    <t>brzina</t>
  </si>
  <si>
    <t>korisnik</t>
  </si>
  <si>
    <t>učinkovitost</t>
  </si>
  <si>
    <t>učikovitost</t>
  </si>
  <si>
    <t>Svi koraci procesa su digitalno zabilježeni, što omogućuje praćenje statusa certifikata u 100 % slučajeva bez dodatnih provjera.</t>
  </si>
  <si>
    <t>Digitalni zapisi omogućuju naknadnu provjeru u 90 % kontrola, čime se smanjuje potreba za ponovnim pregledima proizvoda.</t>
  </si>
  <si>
    <t>Organizatori imaju uvid u prijave, status priprema i povratne informacije u realnom vremenu, što smanjuje kašnjenja i nejasnoće u provedbi za oko 35 %.</t>
  </si>
  <si>
    <t>Automatsko izdavanje certifikata i digitalna dokumentacija smanjuju administrativne zadatke zaposlenika za oko 60 % u odnosu na ručni postupak.</t>
  </si>
  <si>
    <t>Uklanjanjem ručnih izvještaja i priprema za terenske kontrole, administrativno opterećenje zaposlenika smanjuje se za približno 40 %.</t>
  </si>
  <si>
    <t>Digitalna evidencija sudionika i automatizirani obrasci smanjuju administrativne zadatke u fazi pripreme za približno 30 %, iako provedba aktivnosti ostaje fizička.</t>
  </si>
  <si>
    <t>Centralizirani sustav smanjuje potrebu za međusobnom komunikacijom između administracije i stručnih odjela za približno 45 %, jer su svi podaci dostupni na jednom mjestu.</t>
  </si>
  <si>
    <t>Digitalni zapisi i snimke omogućuju bržu razmjenu informacija, čime se vrijeme potrebno za usklađivanje između odjela smanjuje za 35 %.</t>
  </si>
  <si>
    <t>Digitalni planovi i automatizirane prijave smanjuju potrebu za intenzivnom koordinacijom između logistike, organizatora i marketinga za oko 30 %.</t>
  </si>
  <si>
    <t>Klijenti samostalno pristupaju dokumentima i informacijama, čime se broj upita prema administraciji smanjuje za 30–40 %.</t>
  </si>
  <si>
    <t>Sve informacije razmjenjuju se digitalno i dostupne su u realnom vremenu, što skraćuje komunikaciju za 40 %.</t>
  </si>
  <si>
    <t>Pristup informacijama o programu i terminima je digitalan, čime se smanjuje broj dodatnih upita za 30 %.</t>
  </si>
  <si>
    <t>QR kod omogućuje klijentima trenutačan uvid u autentičnost certifikata i status postupka u 100 % slučajeva.</t>
  </si>
  <si>
    <t>Klijenti imaju uvid u tijek kontrole i zapise, čime se smanjuje potreba za dodatnim pojašnjenjima i dolascima.</t>
  </si>
  <si>
    <t>Klijenti unaprijed dobivaju digitalni plan aktivnosti, raspored i očekivane rezultate, što smanjuje nejasnoće.</t>
  </si>
  <si>
    <t>Proces zahtijeva 1 administrativnu osobu, umjesto dosadašnje 2–3, zahvaljujući automatizaciji.</t>
  </si>
  <si>
    <t>Jedan kontrolor može nadzirati 2–3 kontrole dnevno, dok je ranije mogao provesti samo jednu terensku kontrolu.</t>
  </si>
  <si>
    <t>Za provedbu je potrebno 2-3 edukatora ili voditelja aktivnosti, dok se administrativni dio obavlja bez dodatnog osoblja.</t>
  </si>
  <si>
    <t>Ručne operacije svedene su na manje od 20 % procesa, uglavnom u obliku nadzora i iznimnih provjera.</t>
  </si>
  <si>
    <t>Ručni rad smanjen je za približno 50 %, iako je i dalje potreban stručni nadzor tijekom procjene.</t>
  </si>
  <si>
    <t>Ručni rad je smanjen u fazi pripreme za oko 40 %, ali ostaje prisutan tijekom same provedbe.</t>
  </si>
  <si>
    <t>Više od 80 % rutinskih koraka je automatizirano, uključujući provjeru dokumentacije, generiranje certifikata i dodjelu QR koda.</t>
  </si>
  <si>
    <t>Automatizirano je oko 60–70 % procesa, uključujući snimanje, pohranu dokaza i generiranje izvještaja.</t>
  </si>
  <si>
    <t>Oko 50 % procesa je automatizirano, uključujući prijave, rasporede i izvještaje, dok je provedba aktivnosti fizička.</t>
  </si>
  <si>
    <t>Trajanje procesa skraćuje se s prosječno 3–4 radna dana na manje od 1 radnog dana, jer se certifikat automatski generira odmah nakon validacije podataka.</t>
  </si>
  <si>
    <t>Trajanje kontrole smanjuje se s prosječno 1 radnog dana na 2–3 sata, jer nema potrebe za fizičkim dolaskom kontrolora.</t>
  </si>
  <si>
    <t>Vrijeme pripreme programa smanjuje se s prosječno 5 radnih dana na 1–2 radna dana, zahvaljujući digitalnom planiranju.</t>
  </si>
  <si>
    <t>Broj pogrešno izdanih ili ispravljenih certifikata smanjuje se za približno 60 % jer automatizirani sustav uklanja ručni unos podataka i generira certifikat na temelju prethodno validirane dokumentacije.</t>
  </si>
  <si>
    <t>Broj ponovljenih kontrola zbog nepotpunih ili nejasnih nalaza smanjuje se za približno 40 %, jer su svi koraci digitalno zabilježeni.</t>
  </si>
  <si>
    <t>Standardizirani digitalni tijek rada smanjuje organizacijske pogreške tijekom pripreme i provedbe aktivnosti za 30–40 %.</t>
  </si>
  <si>
    <t>Automatska validacija podataka smanjuje pogrešne unose s procijenjenih 15 % na manje od 5 %.</t>
  </si>
  <si>
    <t>Korištenjem video zapisa i digitalnih dokaza omogućena je naknadna provjera u 100 % slučajeva, čime se povećava pouzdanost procjene.</t>
  </si>
  <si>
    <t>Korištenjem standardiziranih digitalnih obrazaca smanjuje se broj nepotpunih ili pogrešnih zahtjeva klijenata za oko 50 %.</t>
  </si>
  <si>
    <t>Digitalni postupak skraćuje ukupno vrijeme obrade certifikata s prosječno 3–4 radna dana na manje od 1 radnog dana, bez potrebe za fizičkom dokumentacijom.</t>
  </si>
  <si>
    <t>Remote kontrola skraćuje trajanje pregleda s prosječno 8 sati na 2–3 sata, što omogućuje provođenje većeg broja kontrola u istom radnom danu.</t>
  </si>
  <si>
    <t>Automatizirano prikupljanje prijava i potvrda skraćuje vrijeme organizacije s prosječno 5 radnih dana na 1–2 radna dana.</t>
  </si>
  <si>
    <t>Automatizacijom se eliminira oko 80 % ručnih administrativnih aktivnosti, čime se trošak obrade jednog certifikata smanjuje za približno 25–30 %.</t>
  </si>
  <si>
    <t>Uklanjanjem terenskih pregleda i putnih troškova, trošak pojedinačne kontrole smanjuje se za 30–40 %, uz zadržavanje potrebne razine stručne provjere.</t>
  </si>
  <si>
    <t>Digitalno planiranje, prijave i evidencija smanjuju operativne troškove pripreme programa za približno 20–25 % u odnosu na ručno planiranje.</t>
  </si>
  <si>
    <t>trošak</t>
  </si>
  <si>
    <t>ušteda</t>
  </si>
  <si>
    <t>točnost</t>
  </si>
  <si>
    <t>pogreške</t>
  </si>
  <si>
    <t>trajanje</t>
  </si>
  <si>
    <t>automatizacija</t>
  </si>
  <si>
    <t>ručne op</t>
  </si>
  <si>
    <t>br ljudi</t>
  </si>
  <si>
    <t>transparentnost</t>
  </si>
  <si>
    <t>komunikacija</t>
  </si>
  <si>
    <t>koordinacija</t>
  </si>
  <si>
    <t>administrativno</t>
  </si>
  <si>
    <t>praćenje</t>
  </si>
  <si>
    <t>iz 2,3,1 u 3,2,1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</si>
</sst>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8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8"/>
      <name val="Calibri"/>
      <family val="2"/>
      <scheme val="minor"/>
    </font>
    <font>
      <b/>
      <sz val="9"/>
      <name val="Arial"/>
      <family val="2"/>
      <charset val="238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8" borderId="1" xfId="0" applyFont="1" applyFill="1" applyBorder="1"/>
    <xf numFmtId="9" fontId="0" fillId="0" borderId="1" xfId="0" applyNumberFormat="1" applyBorder="1"/>
    <xf numFmtId="9" fontId="0" fillId="2" borderId="1" xfId="0" applyNumberFormat="1" applyFill="1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/>
    <xf numFmtId="0" fontId="2" fillId="0" borderId="0" xfId="0" applyFont="1" applyAlignment="1">
      <alignment horizontal="center"/>
    </xf>
    <xf numFmtId="0" fontId="0" fillId="9" borderId="1" xfId="0" applyFill="1" applyBorder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11" xfId="0" applyBorder="1"/>
    <xf numFmtId="0" fontId="0" fillId="0" borderId="9" xfId="0" applyBorder="1"/>
    <xf numFmtId="0" fontId="2" fillId="5" borderId="1" xfId="0" applyFont="1" applyFill="1" applyBorder="1"/>
    <xf numFmtId="0" fontId="0" fillId="0" borderId="17" xfId="0" applyBorder="1"/>
    <xf numFmtId="0" fontId="0" fillId="0" borderId="0" xfId="0" applyAlignment="1">
      <alignment wrapText="1"/>
    </xf>
    <xf numFmtId="2" fontId="0" fillId="0" borderId="1" xfId="0" applyNumberFormat="1" applyBorder="1" applyAlignment="1">
      <alignment wrapText="1"/>
    </xf>
    <xf numFmtId="164" fontId="7" fillId="7" borderId="1" xfId="0" applyNumberFormat="1" applyFont="1" applyFill="1" applyBorder="1"/>
    <xf numFmtId="164" fontId="7" fillId="5" borderId="1" xfId="0" applyNumberFormat="1" applyFont="1" applyFill="1" applyBorder="1"/>
    <xf numFmtId="164" fontId="2" fillId="8" borderId="1" xfId="0" applyNumberFormat="1" applyFont="1" applyFill="1" applyBorder="1"/>
    <xf numFmtId="164" fontId="2" fillId="0" borderId="0" xfId="0" applyNumberFormat="1" applyFont="1"/>
    <xf numFmtId="164" fontId="8" fillId="0" borderId="0" xfId="0" applyNumberFormat="1" applyFont="1"/>
    <xf numFmtId="164" fontId="7" fillId="13" borderId="8" xfId="0" applyNumberFormat="1" applyFont="1" applyFill="1" applyBorder="1"/>
    <xf numFmtId="164" fontId="7" fillId="11" borderId="8" xfId="0" applyNumberFormat="1" applyFont="1" applyFill="1" applyBorder="1"/>
    <xf numFmtId="164" fontId="2" fillId="14" borderId="8" xfId="0" applyNumberFormat="1" applyFont="1" applyFill="1" applyBorder="1"/>
    <xf numFmtId="164" fontId="2" fillId="15" borderId="8" xfId="0" applyNumberFormat="1" applyFont="1" applyFill="1" applyBorder="1"/>
    <xf numFmtId="164" fontId="2" fillId="5" borderId="1" xfId="0" applyNumberFormat="1" applyFont="1" applyFill="1" applyBorder="1"/>
    <xf numFmtId="164" fontId="2" fillId="16" borderId="1" xfId="0" applyNumberFormat="1" applyFont="1" applyFill="1" applyBorder="1"/>
    <xf numFmtId="164" fontId="2" fillId="7" borderId="1" xfId="0" applyNumberFormat="1" applyFont="1" applyFill="1" applyBorder="1"/>
    <xf numFmtId="164" fontId="0" fillId="0" borderId="1" xfId="0" applyNumberFormat="1" applyBorder="1"/>
    <xf numFmtId="164" fontId="5" fillId="6" borderId="2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64" fontId="7" fillId="6" borderId="9" xfId="0" applyNumberFormat="1" applyFont="1" applyFill="1" applyBorder="1" applyAlignment="1">
      <alignment horizontal="center"/>
    </xf>
    <xf numFmtId="164" fontId="7" fillId="6" borderId="1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/>
    </xf>
    <xf numFmtId="164" fontId="5" fillId="4" borderId="9" xfId="0" applyNumberFormat="1" applyFont="1" applyFill="1" applyBorder="1" applyAlignment="1">
      <alignment horizontal="center"/>
    </xf>
    <xf numFmtId="164" fontId="5" fillId="4" borderId="11" xfId="0" applyNumberFormat="1" applyFont="1" applyFill="1" applyBorder="1" applyAlignment="1">
      <alignment horizontal="center"/>
    </xf>
    <xf numFmtId="164" fontId="5" fillId="4" borderId="10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164" fontId="2" fillId="7" borderId="3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/>
    </xf>
    <xf numFmtId="164" fontId="2" fillId="5" borderId="11" xfId="0" applyNumberFormat="1" applyFont="1" applyFill="1" applyBorder="1" applyAlignment="1">
      <alignment horizontal="center"/>
    </xf>
    <xf numFmtId="164" fontId="2" fillId="5" borderId="10" xfId="0" applyNumberFormat="1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7" fillId="12" borderId="9" xfId="0" applyNumberFormat="1" applyFont="1" applyFill="1" applyBorder="1" applyAlignment="1">
      <alignment horizontal="center"/>
    </xf>
    <xf numFmtId="164" fontId="7" fillId="12" borderId="15" xfId="0" applyNumberFormat="1" applyFont="1" applyFill="1" applyBorder="1" applyAlignment="1">
      <alignment horizontal="center"/>
    </xf>
    <xf numFmtId="164" fontId="5" fillId="10" borderId="9" xfId="0" applyNumberFormat="1" applyFont="1" applyFill="1" applyBorder="1" applyAlignment="1">
      <alignment horizontal="center"/>
    </xf>
    <xf numFmtId="164" fontId="5" fillId="10" borderId="11" xfId="0" applyNumberFormat="1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11" borderId="16" xfId="0" applyNumberFormat="1" applyFont="1" applyFill="1" applyBorder="1" applyAlignment="1">
      <alignment horizontal="center"/>
    </xf>
    <xf numFmtId="164" fontId="5" fillId="11" borderId="10" xfId="0" applyNumberFormat="1" applyFont="1" applyFill="1" applyBorder="1" applyAlignment="1">
      <alignment horizontal="center"/>
    </xf>
    <xf numFmtId="164" fontId="5" fillId="11" borderId="15" xfId="0" applyNumberFormat="1" applyFont="1" applyFill="1" applyBorder="1" applyAlignment="1">
      <alignment horizontal="center"/>
    </xf>
    <xf numFmtId="164" fontId="5" fillId="12" borderId="18" xfId="0" applyNumberFormat="1" applyFont="1" applyFill="1" applyBorder="1" applyAlignment="1">
      <alignment horizontal="center" vertical="center"/>
    </xf>
    <xf numFmtId="164" fontId="5" fillId="12" borderId="3" xfId="0" applyNumberFormat="1" applyFont="1" applyFill="1" applyBorder="1" applyAlignment="1">
      <alignment horizontal="center" vertical="center"/>
    </xf>
    <xf numFmtId="164" fontId="7" fillId="13" borderId="18" xfId="0" applyNumberFormat="1" applyFont="1" applyFill="1" applyBorder="1" applyAlignment="1">
      <alignment horizontal="center" vertical="center"/>
    </xf>
    <xf numFmtId="164" fontId="7" fillId="13" borderId="3" xfId="0" applyNumberFormat="1" applyFont="1" applyFill="1" applyBorder="1" applyAlignment="1">
      <alignment horizontal="center" vertical="center"/>
    </xf>
    <xf numFmtId="164" fontId="5" fillId="10" borderId="5" xfId="0" applyNumberFormat="1" applyFont="1" applyFill="1" applyBorder="1" applyAlignment="1">
      <alignment horizontal="center" vertical="center"/>
    </xf>
    <xf numFmtId="164" fontId="5" fillId="10" borderId="12" xfId="0" applyNumberFormat="1" applyFont="1" applyFill="1" applyBorder="1" applyAlignment="1">
      <alignment horizontal="center" vertical="center"/>
    </xf>
    <xf numFmtId="164" fontId="5" fillId="10" borderId="13" xfId="0" applyNumberFormat="1" applyFont="1" applyFill="1" applyBorder="1" applyAlignment="1">
      <alignment horizontal="center" vertical="center"/>
    </xf>
    <xf numFmtId="164" fontId="5" fillId="10" borderId="14" xfId="0" applyNumberFormat="1" applyFont="1" applyFill="1" applyBorder="1" applyAlignment="1">
      <alignment horizontal="center" vertical="center"/>
    </xf>
    <xf numFmtId="164" fontId="5" fillId="10" borderId="16" xfId="0" applyNumberFormat="1" applyFont="1" applyFill="1" applyBorder="1" applyAlignment="1">
      <alignment horizontal="center"/>
    </xf>
    <xf numFmtId="164" fontId="5" fillId="10" borderId="10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5" borderId="9" xfId="0" applyNumberFormat="1" applyFont="1" applyFill="1" applyBorder="1" applyAlignment="1">
      <alignment horizontal="center"/>
    </xf>
    <xf numFmtId="164" fontId="5" fillId="5" borderId="10" xfId="0" applyNumberFormat="1" applyFont="1" applyFill="1" applyBorder="1" applyAlignment="1">
      <alignment horizontal="center"/>
    </xf>
    <xf numFmtId="164" fontId="5" fillId="5" borderId="1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174F2-8ACD-DF4C-9706-CC27FB128E5A}" name="Table3" displayName="Table3" ref="C4:D16" totalsRowShown="0" headerRowDxfId="3" headerRowBorderDxfId="2" tableBorderDxfId="1">
  <autoFilter ref="C4:D16" xr:uid="{B277C5B8-A1AF-264B-8F81-360599D73DE4}"/>
  <tableColumns count="2">
    <tableColumn id="1" xr3:uid="{537D2F8B-1647-9B4A-A02D-83E3D2F53E23}" name="AO" dataDxfId="0"/>
    <tableColumn id="2" xr3:uid="{B777F2BB-6028-4248-8275-7448B75C27A9}" name="PROMJEN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8706-80B2-C546-8B5B-57D3D48C356E}">
  <dimension ref="A1:Y17"/>
  <sheetViews>
    <sheetView zoomScale="89" zoomScaleNormal="94" workbookViewId="0">
      <selection activeCell="L8" sqref="L8:M8"/>
    </sheetView>
  </sheetViews>
  <sheetFormatPr baseColWidth="10" defaultColWidth="9.1640625" defaultRowHeight="14" x14ac:dyDescent="0.15"/>
  <cols>
    <col min="1" max="1" width="15.5" style="1" customWidth="1"/>
    <col min="2" max="16384" width="9.1640625" style="1"/>
  </cols>
  <sheetData>
    <row r="1" spans="1:25" x14ac:dyDescent="0.15">
      <c r="A1" s="3" t="s">
        <v>11</v>
      </c>
    </row>
    <row r="3" spans="1:25" x14ac:dyDescent="0.15">
      <c r="A3" s="52"/>
      <c r="B3" s="55" t="s">
        <v>0</v>
      </c>
      <c r="C3" s="55"/>
      <c r="D3" s="55" t="s">
        <v>1</v>
      </c>
      <c r="E3" s="55"/>
      <c r="F3" s="55"/>
    </row>
    <row r="4" spans="1:25" x14ac:dyDescent="0.15">
      <c r="A4" s="54"/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J4" s="1" t="s">
        <v>135</v>
      </c>
    </row>
    <row r="5" spans="1:25" x14ac:dyDescent="0.15">
      <c r="A5" s="6" t="s">
        <v>8</v>
      </c>
      <c r="B5" s="5" t="s">
        <v>12</v>
      </c>
      <c r="C5" s="5">
        <v>5</v>
      </c>
      <c r="D5" s="5">
        <v>4</v>
      </c>
      <c r="E5" s="5">
        <v>4.5999999999999996</v>
      </c>
      <c r="F5" s="5">
        <v>7</v>
      </c>
      <c r="J5" s="14"/>
      <c r="K5" s="31"/>
      <c r="L5" s="65" t="s">
        <v>162</v>
      </c>
      <c r="M5" s="65"/>
    </row>
    <row r="6" spans="1:25" x14ac:dyDescent="0.15">
      <c r="A6" s="6" t="s">
        <v>9</v>
      </c>
      <c r="B6" s="5" t="s">
        <v>13</v>
      </c>
      <c r="C6" s="5">
        <v>6</v>
      </c>
      <c r="D6" s="5">
        <v>4</v>
      </c>
      <c r="E6" s="5">
        <v>4.2</v>
      </c>
      <c r="F6" s="5">
        <v>5</v>
      </c>
    </row>
    <row r="7" spans="1:25" ht="14.5" customHeight="1" x14ac:dyDescent="0.15">
      <c r="A7" s="6" t="s">
        <v>10</v>
      </c>
      <c r="B7" s="5" t="s">
        <v>14</v>
      </c>
      <c r="C7" s="5">
        <v>3</v>
      </c>
      <c r="D7" s="5">
        <v>5</v>
      </c>
      <c r="E7" s="5">
        <v>3.2</v>
      </c>
      <c r="F7" s="5">
        <v>12</v>
      </c>
      <c r="J7" s="66" t="s">
        <v>76</v>
      </c>
      <c r="K7" s="67"/>
      <c r="L7" s="62" t="s">
        <v>52</v>
      </c>
      <c r="M7" s="63"/>
      <c r="N7" s="62" t="s">
        <v>53</v>
      </c>
      <c r="O7" s="63"/>
      <c r="P7" s="62" t="s">
        <v>54</v>
      </c>
      <c r="Q7" s="63"/>
      <c r="R7" s="62" t="s">
        <v>55</v>
      </c>
      <c r="S7" s="63"/>
      <c r="T7" s="62" t="s">
        <v>56</v>
      </c>
      <c r="U7" s="63"/>
      <c r="V7" s="62" t="s">
        <v>57</v>
      </c>
      <c r="W7" s="64"/>
      <c r="X7" s="63"/>
      <c r="Y7" s="59" t="s">
        <v>2</v>
      </c>
    </row>
    <row r="8" spans="1:25" x14ac:dyDescent="0.15">
      <c r="J8" s="68"/>
      <c r="K8" s="69"/>
      <c r="L8" s="61">
        <f>PROCESIUsporedbaKriteriji!AE19</f>
        <v>0.2087470407625466</v>
      </c>
      <c r="M8" s="61"/>
      <c r="N8" s="61">
        <f>PROCESIUsporedbaKriteriji!AE20</f>
        <v>0.16591116576056195</v>
      </c>
      <c r="O8" s="61"/>
      <c r="P8" s="61">
        <f>PROCESIUsporedbaKriteriji!AE21</f>
        <v>0.25555460451567108</v>
      </c>
      <c r="Q8" s="61"/>
      <c r="R8" s="61">
        <f>PROCESIUsporedbaKriteriji!AE22</f>
        <v>0.15390026619233224</v>
      </c>
      <c r="S8" s="61"/>
      <c r="T8" s="61">
        <f>PROCESIUsporedbaKriteriji!AE23</f>
        <v>5.0233523112869126E-2</v>
      </c>
      <c r="U8" s="61"/>
      <c r="V8" s="61">
        <f>PROCESIUsporedbaKriteriji!AE24</f>
        <v>0.16565339965601902</v>
      </c>
      <c r="W8" s="61"/>
      <c r="X8" s="61"/>
      <c r="Y8" s="60"/>
    </row>
    <row r="9" spans="1:25" x14ac:dyDescent="0.15">
      <c r="A9" s="2" t="s">
        <v>15</v>
      </c>
      <c r="J9" s="48" t="s">
        <v>77</v>
      </c>
      <c r="K9" s="50" t="s">
        <v>78</v>
      </c>
      <c r="L9" s="35" t="s">
        <v>79</v>
      </c>
      <c r="M9" s="35" t="s">
        <v>80</v>
      </c>
      <c r="N9" s="35" t="s">
        <v>82</v>
      </c>
      <c r="O9" s="35" t="s">
        <v>83</v>
      </c>
      <c r="P9" s="35" t="s">
        <v>84</v>
      </c>
      <c r="Q9" s="35" t="s">
        <v>85</v>
      </c>
      <c r="R9" s="35" t="s">
        <v>86</v>
      </c>
      <c r="S9" s="35" t="s">
        <v>87</v>
      </c>
      <c r="T9" s="35" t="s">
        <v>88</v>
      </c>
      <c r="U9" s="35" t="s">
        <v>89</v>
      </c>
      <c r="V9" s="35" t="s">
        <v>90</v>
      </c>
      <c r="W9" s="35" t="s">
        <v>91</v>
      </c>
      <c r="X9" s="35" t="s">
        <v>142</v>
      </c>
      <c r="Y9" s="60"/>
    </row>
    <row r="10" spans="1:25" x14ac:dyDescent="0.15">
      <c r="J10" s="49"/>
      <c r="K10" s="51"/>
      <c r="L10" s="36">
        <f>PKFinancijskaUčinkovitost!P11</f>
        <v>0.6135117904356906</v>
      </c>
      <c r="M10" s="36">
        <f>PKFinancijskaUčinkovitost!P12</f>
        <v>0.3864882095643094</v>
      </c>
      <c r="N10" s="36">
        <f>PKKvalitetaTočnost!P11</f>
        <v>0.5</v>
      </c>
      <c r="O10" s="36">
        <f>PKKvalitetaTočnost!P12</f>
        <v>0.5</v>
      </c>
      <c r="P10" s="36">
        <f>PKUbrzanjeProcesa!P11</f>
        <v>0.55750666597555787</v>
      </c>
      <c r="Q10" s="36">
        <f>PKUbrzanjeProcesa!P12</f>
        <v>0.44249333402444213</v>
      </c>
      <c r="R10" s="36">
        <f>PKLjudskiResursi!P11</f>
        <v>0.6135117904356906</v>
      </c>
      <c r="S10" s="36">
        <f>PKLjudskiResursi!P12</f>
        <v>0.3864882095643094</v>
      </c>
      <c r="T10" s="36">
        <f>PKPoboljšanjeIskustva!P11</f>
        <v>0.53373741817955345</v>
      </c>
      <c r="U10" s="36">
        <f>PKPoboljšanjeIskustva!P12</f>
        <v>0.46626258182044661</v>
      </c>
      <c r="V10" s="36">
        <f>PKUtjecajNaOrgUčinkovitost!T15</f>
        <v>0.21577610016965845</v>
      </c>
      <c r="W10" s="36">
        <f>PKUtjecajNaOrgUčinkovitost!T16</f>
        <v>0.53256162579460831</v>
      </c>
      <c r="X10" s="36">
        <f>PKUtjecajNaOrgUčinkovitost!T17</f>
        <v>0.25166227403573327</v>
      </c>
      <c r="Y10" s="60"/>
    </row>
    <row r="11" spans="1:25" x14ac:dyDescent="0.15">
      <c r="A11" s="52"/>
      <c r="B11" s="55" t="s">
        <v>0</v>
      </c>
      <c r="C11" s="55"/>
      <c r="D11" s="55" t="s">
        <v>1</v>
      </c>
      <c r="E11" s="55"/>
      <c r="F11" s="55"/>
      <c r="G11" s="56" t="s">
        <v>2</v>
      </c>
      <c r="J11" s="57" t="s">
        <v>8</v>
      </c>
      <c r="K11" s="58"/>
      <c r="L11" s="37">
        <f>TrošakProvedbeProcesa!T15</f>
        <v>0.4433034482514257</v>
      </c>
      <c r="M11" s="37">
        <f>UštedaUOdnosuNaPrije!T15</f>
        <v>0.55051855027678676</v>
      </c>
      <c r="N11" s="37">
        <f>TočnostPrikupljenihInfo!T15</f>
        <v>0.51288053587622218</v>
      </c>
      <c r="O11" s="37">
        <f>OperativnePogreške!T15</f>
        <v>0.37050756055286743</v>
      </c>
      <c r="P11" s="37">
        <f>TrajanjeProcesa!T15</f>
        <v>0.51430896088434852</v>
      </c>
      <c r="Q11" s="37">
        <f>RazinaAutoRutinskihKoraka!T15</f>
        <v>0.1620876190266973</v>
      </c>
      <c r="R11" s="37">
        <f>OpsegRučnihOperacija!T15</f>
        <v>0.34300712784998155</v>
      </c>
      <c r="S11" s="37">
        <f>BrojPotrebnihLjudiPROCESI!T15</f>
        <v>0.29395129306453538</v>
      </c>
      <c r="T11" s="37">
        <f>TransparentnostPostupaka!T15</f>
        <v>0.37592585071224843</v>
      </c>
      <c r="U11" s="37">
        <f>KomunikacijaIPristupPodacima!T15</f>
        <v>0.40002126165400592</v>
      </c>
      <c r="V11" s="37">
        <f>KoordinacijaIzmeđuOdjela!T15</f>
        <v>0.53703123581901535</v>
      </c>
      <c r="W11" s="37">
        <f>AdministrativnoOpterećenje!T15</f>
        <v>0.56407897438442378</v>
      </c>
      <c r="X11" s="37">
        <f>PraćenjeIKontorlaProcesa!T15</f>
        <v>0.26036599738682348</v>
      </c>
      <c r="Y11" s="37">
        <f>L$8*L$10*L11+L$8*M$10*M11+N$8*N$10*N11+N$8*O$10*O11+P$8*P$10*P11+P$8*Q$10*Q11+R$8*R$10*R11+R$8*S$10*S11+T$8*T$10*T11+T$8*U$10*U11+V$8*V$10*V11+V$8*W$10*W11+V$8*X$10*X11</f>
        <v>0.41520745475615073</v>
      </c>
    </row>
    <row r="12" spans="1:25" x14ac:dyDescent="0.15">
      <c r="A12" s="53"/>
      <c r="B12" s="56"/>
      <c r="C12" s="56"/>
      <c r="D12" s="56"/>
      <c r="E12" s="56"/>
      <c r="F12" s="56"/>
      <c r="G12" s="56"/>
      <c r="J12" s="57" t="s">
        <v>9</v>
      </c>
      <c r="K12" s="58"/>
      <c r="L12" s="37">
        <f>TrošakProvedbeProcesa!T16</f>
        <v>0.41068314793118593</v>
      </c>
      <c r="M12" s="37">
        <f>UštedaUOdnosuNaPrije!T16</f>
        <v>0.2862962815717639</v>
      </c>
      <c r="N12" s="37">
        <f>TočnostPrikupljenihInfo!T16</f>
        <v>0.33519815906638062</v>
      </c>
      <c r="O12" s="37">
        <f>OperativnePogreške!T16</f>
        <v>0.4505721121704232</v>
      </c>
      <c r="P12" s="37">
        <f>TrajanjeProcesa!T16</f>
        <v>0.3315668466458479</v>
      </c>
      <c r="Q12" s="37">
        <f>RazinaAutoRutinskihKoraka!T16</f>
        <v>0.30065980077677995</v>
      </c>
      <c r="R12" s="37">
        <f>OpsegRučnihOperacija!T16</f>
        <v>0.39999378758951742</v>
      </c>
      <c r="S12" s="37">
        <f>BrojPotrebnihLjudiPROCESI!T16</f>
        <v>0.53414494791720257</v>
      </c>
      <c r="T12" s="37">
        <f>TransparentnostPostupaka!T16</f>
        <v>0.4030652869435441</v>
      </c>
      <c r="U12" s="37">
        <f>KomunikacijaIPristupPodacima!T16</f>
        <v>0.47612861157369207</v>
      </c>
      <c r="V12" s="37">
        <f>KoordinacijaIzmeđuOdjela!T16</f>
        <v>0.30998654389120311</v>
      </c>
      <c r="W12" s="37">
        <f>AdministrativnoOpterećenje!T16</f>
        <v>0.31680936491189832</v>
      </c>
      <c r="X12" s="37">
        <f>PraćenjeIKontorlaProcesa!T16</f>
        <v>0.40492095089058489</v>
      </c>
      <c r="Y12" s="37">
        <f t="shared" ref="Y12:Y13" si="0">L$8*L$10*L12+L$8*M$10*M12+N$8*N$10*N12+N$8*O$10*O12+P$8*P$10*P12+P$8*Q$10*Q12+R$8*R$10*R12+R$8*S$10*S12+T$8*T$10*T12+T$8*U$10*U12+V$8*V$10*V12+V$8*W$10*W12+V$8*X$10*X12</f>
        <v>0.36952319185143118</v>
      </c>
    </row>
    <row r="13" spans="1:25" x14ac:dyDescent="0.15">
      <c r="A13" s="53"/>
      <c r="B13" s="7" t="s">
        <v>3</v>
      </c>
      <c r="C13" s="7" t="s">
        <v>4</v>
      </c>
      <c r="D13" s="7" t="s">
        <v>5</v>
      </c>
      <c r="E13" s="7" t="s">
        <v>6</v>
      </c>
      <c r="F13" s="7" t="s">
        <v>7</v>
      </c>
      <c r="G13" s="56"/>
      <c r="J13" s="57" t="s">
        <v>10</v>
      </c>
      <c r="K13" s="58"/>
      <c r="L13" s="37">
        <f>TrošakProvedbeProcesa!T17</f>
        <v>0.14601340381738845</v>
      </c>
      <c r="M13" s="37">
        <f>UštedaUOdnosuNaPrije!T17</f>
        <v>0.16318516815144932</v>
      </c>
      <c r="N13" s="37">
        <f>TočnostPrikupljenihInfo!T17</f>
        <v>0.15192130505739715</v>
      </c>
      <c r="O13" s="37">
        <f>OperativnePogreške!T17</f>
        <v>0.17892032727670948</v>
      </c>
      <c r="P13" s="37">
        <f>TrajanjeProcesa!T17</f>
        <v>0.15412419246980361</v>
      </c>
      <c r="Q13" s="37">
        <f>RazinaAutoRutinskihKoraka!T17</f>
        <v>0.53725258019652289</v>
      </c>
      <c r="R13" s="37">
        <f>OpsegRučnihOperacija!T17</f>
        <v>0.25699908456050108</v>
      </c>
      <c r="S13" s="37">
        <f>BrojPotrebnihLjudiPROCESI!T17</f>
        <v>0.17190375901826205</v>
      </c>
      <c r="T13" s="37">
        <f>TransparentnostPostupaka!T17</f>
        <v>0.22100886234420744</v>
      </c>
      <c r="U13" s="37">
        <f>KomunikacijaIPristupPodacima!T17</f>
        <v>0.12385012677230206</v>
      </c>
      <c r="V13" s="37">
        <f>KoordinacijaIzmeđuOdjela!T17</f>
        <v>0.15298222028978137</v>
      </c>
      <c r="W13" s="37">
        <f>AdministrativnoOpterećenje!T17</f>
        <v>0.11911166070367789</v>
      </c>
      <c r="X13" s="37">
        <f>PraćenjeIKontorlaProcesa!T17</f>
        <v>0.33471305172259175</v>
      </c>
      <c r="Y13" s="37">
        <f t="shared" si="0"/>
        <v>0.21526935339241793</v>
      </c>
    </row>
    <row r="14" spans="1:25" x14ac:dyDescent="0.15">
      <c r="A14" s="54"/>
      <c r="B14" s="4"/>
      <c r="C14" s="4"/>
      <c r="D14" s="4"/>
      <c r="E14" s="4"/>
      <c r="F14" s="4"/>
      <c r="G14" s="56"/>
    </row>
    <row r="15" spans="1:25" x14ac:dyDescent="0.15">
      <c r="A15" s="6" t="s">
        <v>8</v>
      </c>
      <c r="B15" s="5"/>
      <c r="C15" s="5"/>
      <c r="D15" s="5"/>
      <c r="E15" s="5"/>
      <c r="F15" s="5"/>
      <c r="G15" s="5"/>
    </row>
    <row r="16" spans="1:25" x14ac:dyDescent="0.15">
      <c r="A16" s="6" t="s">
        <v>9</v>
      </c>
      <c r="B16" s="5"/>
      <c r="C16" s="5"/>
      <c r="D16" s="5"/>
      <c r="E16" s="5"/>
      <c r="F16" s="5"/>
      <c r="G16" s="5"/>
    </row>
    <row r="17" spans="1:7" x14ac:dyDescent="0.15">
      <c r="A17" s="6" t="s">
        <v>10</v>
      </c>
      <c r="B17" s="5"/>
      <c r="C17" s="5"/>
      <c r="D17" s="5"/>
      <c r="E17" s="5"/>
      <c r="F17" s="5"/>
      <c r="G17" s="5"/>
    </row>
  </sheetData>
  <mergeCells count="29">
    <mergeCell ref="A3:A4"/>
    <mergeCell ref="B3:C3"/>
    <mergeCell ref="D3:F3"/>
    <mergeCell ref="L5:M5"/>
    <mergeCell ref="J7:K8"/>
    <mergeCell ref="L7:M7"/>
    <mergeCell ref="L8:M8"/>
    <mergeCell ref="Y7:Y10"/>
    <mergeCell ref="N8:O8"/>
    <mergeCell ref="P8:Q8"/>
    <mergeCell ref="R8:S8"/>
    <mergeCell ref="T8:U8"/>
    <mergeCell ref="N7:O7"/>
    <mergeCell ref="P7:Q7"/>
    <mergeCell ref="R7:S7"/>
    <mergeCell ref="T7:U7"/>
    <mergeCell ref="V7:X7"/>
    <mergeCell ref="V8:X8"/>
    <mergeCell ref="J9:J10"/>
    <mergeCell ref="K9:K10"/>
    <mergeCell ref="A11:A14"/>
    <mergeCell ref="B11:C11"/>
    <mergeCell ref="D11:F11"/>
    <mergeCell ref="G11:G14"/>
    <mergeCell ref="J11:K11"/>
    <mergeCell ref="B12:C12"/>
    <mergeCell ref="D12:F12"/>
    <mergeCell ref="J12:K12"/>
    <mergeCell ref="J13:K13"/>
  </mergeCells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9A86-1723-BE42-967E-3C61409722DA}">
  <dimension ref="A1:AU84"/>
  <sheetViews>
    <sheetView topLeftCell="S10" zoomScale="200" zoomScaleNormal="131" workbookViewId="0">
      <selection activeCell="BC38" sqref="BC38"/>
    </sheetView>
  </sheetViews>
  <sheetFormatPr baseColWidth="10" defaultColWidth="9.1640625" defaultRowHeight="14" x14ac:dyDescent="0.15"/>
  <cols>
    <col min="1" max="1" width="15.5" style="1" customWidth="1"/>
    <col min="2" max="2" width="9.1640625" style="1"/>
    <col min="3" max="3" width="12.33203125" style="1" customWidth="1"/>
    <col min="4" max="4" width="14.33203125" style="1" customWidth="1"/>
    <col min="5" max="9" width="9.1640625" style="1"/>
    <col min="10" max="10" width="11.33203125" style="1" customWidth="1"/>
    <col min="11" max="16384" width="9.1640625" style="1"/>
  </cols>
  <sheetData>
    <row r="1" spans="1:26" x14ac:dyDescent="0.15">
      <c r="A1" s="3"/>
    </row>
    <row r="3" spans="1:26" ht="15" x14ac:dyDescent="0.2">
      <c r="A3"/>
      <c r="B3"/>
      <c r="C3"/>
      <c r="D3"/>
      <c r="E3"/>
      <c r="F3"/>
    </row>
    <row r="4" spans="1:26" ht="15" x14ac:dyDescent="0.2">
      <c r="A4"/>
      <c r="B4"/>
      <c r="C4" s="27" t="s">
        <v>103</v>
      </c>
      <c r="D4" s="28" t="s">
        <v>134</v>
      </c>
      <c r="E4"/>
      <c r="F4"/>
      <c r="J4" s="1" t="s">
        <v>135</v>
      </c>
    </row>
    <row r="5" spans="1:26" ht="15" x14ac:dyDescent="0.2">
      <c r="A5"/>
      <c r="B5"/>
      <c r="C5" s="29" t="s">
        <v>136</v>
      </c>
      <c r="D5" s="30" t="s">
        <v>137</v>
      </c>
      <c r="E5"/>
      <c r="F5"/>
      <c r="J5"/>
      <c r="K5"/>
      <c r="L5"/>
      <c r="M5"/>
    </row>
    <row r="6" spans="1:26" ht="15" x14ac:dyDescent="0.2">
      <c r="A6"/>
      <c r="B6"/>
      <c r="C6" s="29" t="s">
        <v>138</v>
      </c>
      <c r="D6" s="30" t="s">
        <v>137</v>
      </c>
      <c r="E6"/>
      <c r="F6"/>
    </row>
    <row r="7" spans="1:26" ht="14.5" customHeight="1" x14ac:dyDescent="0.2">
      <c r="A7"/>
      <c r="B7"/>
      <c r="C7" s="29" t="s">
        <v>139</v>
      </c>
      <c r="D7" s="30" t="s">
        <v>137</v>
      </c>
      <c r="E7"/>
      <c r="F7"/>
      <c r="J7" s="66" t="s">
        <v>76</v>
      </c>
      <c r="K7" s="67"/>
      <c r="L7" s="62" t="s">
        <v>52</v>
      </c>
      <c r="M7" s="63"/>
      <c r="N7" s="62" t="s">
        <v>53</v>
      </c>
      <c r="O7" s="63"/>
      <c r="P7" s="62" t="s">
        <v>54</v>
      </c>
      <c r="Q7" s="63"/>
      <c r="R7" s="62" t="s">
        <v>55</v>
      </c>
      <c r="S7" s="63"/>
      <c r="T7" s="62" t="s">
        <v>56</v>
      </c>
      <c r="U7" s="63"/>
      <c r="V7" s="62" t="s">
        <v>57</v>
      </c>
      <c r="W7" s="64"/>
      <c r="X7" s="63"/>
      <c r="Y7" s="59" t="s">
        <v>2</v>
      </c>
    </row>
    <row r="8" spans="1:26" ht="15" x14ac:dyDescent="0.2">
      <c r="C8" s="29" t="s">
        <v>140</v>
      </c>
      <c r="D8" s="30" t="s">
        <v>137</v>
      </c>
      <c r="J8" s="68"/>
      <c r="K8" s="69"/>
      <c r="L8" s="61">
        <f>PROCESIUsporedbaKriteriji!AE19</f>
        <v>0.2087470407625466</v>
      </c>
      <c r="M8" s="61"/>
      <c r="N8" s="61">
        <f>PROCESIUsporedbaKriteriji!AE20</f>
        <v>0.16591116576056195</v>
      </c>
      <c r="O8" s="61"/>
      <c r="P8" s="61">
        <f>PROCESIUsporedbaKriteriji!AE21</f>
        <v>0.25555460451567108</v>
      </c>
      <c r="Q8" s="61"/>
      <c r="R8" s="61">
        <f>PROCESIUsporedbaKriteriji!AE22</f>
        <v>0.15390026619233224</v>
      </c>
      <c r="S8" s="61"/>
      <c r="T8" s="61">
        <f>PROCESIUsporedbaKriteriji!AE23</f>
        <v>5.0233523112869126E-2</v>
      </c>
      <c r="U8" s="61"/>
      <c r="V8" s="61">
        <f>PROCESIUsporedbaKriteriji!AE24</f>
        <v>0.16565339965601902</v>
      </c>
      <c r="W8" s="61"/>
      <c r="X8" s="61"/>
      <c r="Y8" s="60"/>
    </row>
    <row r="9" spans="1:26" ht="15" x14ac:dyDescent="0.2">
      <c r="A9" s="2"/>
      <c r="C9" s="29" t="s">
        <v>141</v>
      </c>
      <c r="D9" s="30" t="s">
        <v>137</v>
      </c>
      <c r="J9" s="48" t="s">
        <v>77</v>
      </c>
      <c r="K9" s="50" t="s">
        <v>78</v>
      </c>
      <c r="L9" s="35" t="s">
        <v>79</v>
      </c>
      <c r="M9" s="35" t="s">
        <v>80</v>
      </c>
      <c r="N9" s="35" t="s">
        <v>82</v>
      </c>
      <c r="O9" s="35" t="s">
        <v>83</v>
      </c>
      <c r="P9" s="35" t="s">
        <v>84</v>
      </c>
      <c r="Q9" s="35" t="s">
        <v>85</v>
      </c>
      <c r="R9" s="35" t="s">
        <v>86</v>
      </c>
      <c r="S9" s="35" t="s">
        <v>87</v>
      </c>
      <c r="T9" s="35" t="s">
        <v>88</v>
      </c>
      <c r="U9" s="35" t="s">
        <v>89</v>
      </c>
      <c r="V9" s="35" t="s">
        <v>90</v>
      </c>
      <c r="W9" s="35" t="s">
        <v>91</v>
      </c>
      <c r="X9" s="35" t="s">
        <v>142</v>
      </c>
      <c r="Y9" s="60"/>
    </row>
    <row r="10" spans="1:26" ht="15" x14ac:dyDescent="0.2">
      <c r="C10" s="29" t="s">
        <v>143</v>
      </c>
      <c r="D10" s="30" t="s">
        <v>137</v>
      </c>
      <c r="J10" s="49"/>
      <c r="K10" s="51"/>
      <c r="L10" s="44">
        <v>0.6135117904356906</v>
      </c>
      <c r="M10" s="44">
        <v>0.3864882095643094</v>
      </c>
      <c r="N10" s="44">
        <v>0.5</v>
      </c>
      <c r="O10" s="44">
        <v>0.5</v>
      </c>
      <c r="P10" s="44">
        <v>0.55750666597555787</v>
      </c>
      <c r="Q10" s="44">
        <v>0.44249333402444213</v>
      </c>
      <c r="R10" s="44">
        <v>0.6135117904356906</v>
      </c>
      <c r="S10" s="44">
        <v>0.3864882095643094</v>
      </c>
      <c r="T10" s="44">
        <v>0.53373741817955345</v>
      </c>
      <c r="U10" s="44">
        <v>0.46626258182044661</v>
      </c>
      <c r="V10" s="44">
        <v>0.21577610016965845</v>
      </c>
      <c r="W10" s="44">
        <v>0.53256162579460831</v>
      </c>
      <c r="X10" s="44">
        <v>0.25166227403573327</v>
      </c>
      <c r="Y10" s="60"/>
    </row>
    <row r="11" spans="1:26" ht="15" x14ac:dyDescent="0.2">
      <c r="A11"/>
      <c r="B11"/>
      <c r="C11" s="32" t="s">
        <v>144</v>
      </c>
      <c r="D11" t="s">
        <v>137</v>
      </c>
      <c r="E11"/>
      <c r="F11"/>
      <c r="G11"/>
      <c r="J11" s="57" t="s">
        <v>8</v>
      </c>
      <c r="K11" s="58"/>
      <c r="L11" s="45">
        <v>0.4433034482514257</v>
      </c>
      <c r="M11" s="45">
        <v>0.55051855027678676</v>
      </c>
      <c r="N11" s="45">
        <v>0.51288053587622218</v>
      </c>
      <c r="O11" s="45">
        <v>0.37050756055286743</v>
      </c>
      <c r="P11" s="45">
        <v>0.51430896088434852</v>
      </c>
      <c r="Q11" s="45">
        <v>0.1620876190266973</v>
      </c>
      <c r="R11" s="45">
        <v>0.34300712784998155</v>
      </c>
      <c r="S11" s="45">
        <v>0.29395129306453538</v>
      </c>
      <c r="T11" s="45">
        <v>0.37592585071224843</v>
      </c>
      <c r="U11" s="45">
        <v>0.40002126165400592</v>
      </c>
      <c r="V11" s="45">
        <v>0.53703123581901535</v>
      </c>
      <c r="W11" s="45">
        <v>0.56407897438442378</v>
      </c>
      <c r="X11" s="45">
        <v>0.26036599738682348</v>
      </c>
      <c r="Y11" s="37">
        <f>L$8*L$10*L11+L$8*M$10*M11+N$8*N$10*N11+N$8*O$10*O11+P$8*P$10*P11+P$8*Q$10*Q11+R$8*R$10*R11+R$8*S$10*S11+T$8*T$10*T11+T$8*U$10*U11+V$8*V$10*V11+V$8*W$10*W11+V$8*X$10*X11</f>
        <v>0.41520745475615073</v>
      </c>
      <c r="Z11" s="1" t="s">
        <v>111</v>
      </c>
    </row>
    <row r="12" spans="1:26" ht="15" x14ac:dyDescent="0.2">
      <c r="A12"/>
      <c r="B12"/>
      <c r="C12" s="32" t="s">
        <v>145</v>
      </c>
      <c r="D12" t="s">
        <v>137</v>
      </c>
      <c r="E12"/>
      <c r="F12"/>
      <c r="G12"/>
      <c r="J12" s="57" t="s">
        <v>9</v>
      </c>
      <c r="K12" s="58"/>
      <c r="L12" s="45">
        <v>0.41068314793118593</v>
      </c>
      <c r="M12" s="45">
        <v>0.2862962815717639</v>
      </c>
      <c r="N12" s="45">
        <v>0.33519815906638062</v>
      </c>
      <c r="O12" s="45">
        <v>0.4505721121704232</v>
      </c>
      <c r="P12" s="45">
        <v>0.3315668466458479</v>
      </c>
      <c r="Q12" s="45">
        <v>0.30065980077677995</v>
      </c>
      <c r="R12" s="45">
        <v>0.39999378758951742</v>
      </c>
      <c r="S12" s="45">
        <v>0.53414494791720257</v>
      </c>
      <c r="T12" s="45">
        <v>0.4030652869435441</v>
      </c>
      <c r="U12" s="45">
        <v>0.47612861157369207</v>
      </c>
      <c r="V12" s="45">
        <v>0.30998654389120311</v>
      </c>
      <c r="W12" s="45">
        <v>0.31680936491189832</v>
      </c>
      <c r="X12" s="45">
        <v>0.40492095089058489</v>
      </c>
      <c r="Y12" s="37">
        <f t="shared" ref="Y12:Y13" si="0">L$8*L$10*L12+L$8*M$10*M12+N$8*N$10*N12+N$8*O$10*O12+P$8*P$10*P12+P$8*Q$10*Q12+R$8*R$10*R12+R$8*S$10*S12+T$8*T$10*T12+T$8*U$10*U12+V$8*V$10*V12+V$8*W$10*W12+V$8*X$10*X12</f>
        <v>0.36952319185143118</v>
      </c>
      <c r="Z12" s="1" t="s">
        <v>112</v>
      </c>
    </row>
    <row r="13" spans="1:26" ht="15" x14ac:dyDescent="0.2">
      <c r="A13"/>
      <c r="B13"/>
      <c r="C13" s="32" t="s">
        <v>146</v>
      </c>
      <c r="D13" t="s">
        <v>137</v>
      </c>
      <c r="E13"/>
      <c r="F13"/>
      <c r="G13"/>
      <c r="J13" s="57" t="s">
        <v>10</v>
      </c>
      <c r="K13" s="58"/>
      <c r="L13" s="45">
        <v>0.14601340381738845</v>
      </c>
      <c r="M13" s="45">
        <v>0.16318516815144932</v>
      </c>
      <c r="N13" s="45">
        <v>0.15192130505739715</v>
      </c>
      <c r="O13" s="45">
        <v>0.17892032727670948</v>
      </c>
      <c r="P13" s="45">
        <v>0.15412419246980361</v>
      </c>
      <c r="Q13" s="45">
        <v>0.53725258019652289</v>
      </c>
      <c r="R13" s="45">
        <v>0.25699908456050108</v>
      </c>
      <c r="S13" s="45">
        <v>0.17190375901826205</v>
      </c>
      <c r="T13" s="45">
        <v>0.22100886234420744</v>
      </c>
      <c r="U13" s="45">
        <v>0.12385012677230206</v>
      </c>
      <c r="V13" s="45">
        <v>0.15298222028978137</v>
      </c>
      <c r="W13" s="45">
        <v>0.11911166070367789</v>
      </c>
      <c r="X13" s="45">
        <v>0.33471305172259175</v>
      </c>
      <c r="Y13" s="37">
        <f t="shared" si="0"/>
        <v>0.21526935339241793</v>
      </c>
      <c r="Z13" s="1" t="s">
        <v>113</v>
      </c>
    </row>
    <row r="14" spans="1:26" ht="15" x14ac:dyDescent="0.2">
      <c r="A14"/>
      <c r="B14"/>
      <c r="C14" s="32" t="s">
        <v>147</v>
      </c>
      <c r="D14" t="s">
        <v>137</v>
      </c>
      <c r="E14"/>
      <c r="F14"/>
      <c r="G14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6" ht="15" x14ac:dyDescent="0.2">
      <c r="A15"/>
      <c r="B15"/>
      <c r="C15" s="32" t="s">
        <v>148</v>
      </c>
      <c r="D15" t="s">
        <v>137</v>
      </c>
      <c r="E15"/>
      <c r="F15"/>
      <c r="G15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6" ht="15" x14ac:dyDescent="0.2">
      <c r="A16"/>
      <c r="B16"/>
      <c r="C16" s="32" t="s">
        <v>149</v>
      </c>
      <c r="D16" t="s">
        <v>137</v>
      </c>
      <c r="E16"/>
      <c r="F16"/>
      <c r="G16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47" ht="15" x14ac:dyDescent="0.2">
      <c r="A17"/>
      <c r="B17"/>
      <c r="C17"/>
      <c r="D17"/>
      <c r="E17"/>
      <c r="F17"/>
      <c r="G17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47" x14ac:dyDescent="0.15">
      <c r="J18" s="38" t="s">
        <v>150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AE18" s="1" t="s">
        <v>151</v>
      </c>
    </row>
    <row r="19" spans="1:47" x14ac:dyDescent="0.15">
      <c r="J19" s="76" t="s">
        <v>76</v>
      </c>
      <c r="K19" s="77"/>
      <c r="L19" s="83" t="s">
        <v>52</v>
      </c>
      <c r="M19" s="85"/>
      <c r="N19" s="83" t="s">
        <v>53</v>
      </c>
      <c r="O19" s="85"/>
      <c r="P19" s="83" t="s">
        <v>54</v>
      </c>
      <c r="Q19" s="85"/>
      <c r="R19" s="83" t="s">
        <v>55</v>
      </c>
      <c r="S19" s="85"/>
      <c r="T19" s="83" t="s">
        <v>56</v>
      </c>
      <c r="U19" s="85"/>
      <c r="V19" s="83" t="s">
        <v>57</v>
      </c>
      <c r="W19" s="84"/>
      <c r="X19" s="85"/>
      <c r="Y19" s="86" t="s">
        <v>2</v>
      </c>
      <c r="AE19" s="66" t="s">
        <v>76</v>
      </c>
      <c r="AF19" s="67"/>
      <c r="AG19" s="62" t="s">
        <v>52</v>
      </c>
      <c r="AH19" s="63"/>
      <c r="AI19" s="62" t="s">
        <v>53</v>
      </c>
      <c r="AJ19" s="63"/>
      <c r="AK19" s="62" t="s">
        <v>54</v>
      </c>
      <c r="AL19" s="63"/>
      <c r="AM19" s="62" t="s">
        <v>55</v>
      </c>
      <c r="AN19" s="63"/>
      <c r="AO19" s="62" t="s">
        <v>56</v>
      </c>
      <c r="AP19" s="63"/>
      <c r="AQ19" s="62" t="s">
        <v>57</v>
      </c>
      <c r="AR19" s="64"/>
      <c r="AS19" s="63"/>
      <c r="AT19" s="59" t="s">
        <v>2</v>
      </c>
    </row>
    <row r="20" spans="1:47" x14ac:dyDescent="0.15">
      <c r="J20" s="78"/>
      <c r="K20" s="79"/>
      <c r="L20" s="80">
        <f>L8-0.05</f>
        <v>0.15874704076254659</v>
      </c>
      <c r="M20" s="81"/>
      <c r="N20" s="80">
        <f>N8+N8/(N8+P8+R8+T8+V8)*0.05</f>
        <v>0.17639524445016672</v>
      </c>
      <c r="O20" s="81"/>
      <c r="P20" s="80">
        <f>P8+P8/(N8+P8+R8+T8+V8)*0.05</f>
        <v>0.27170333429495397</v>
      </c>
      <c r="Q20" s="81"/>
      <c r="R20" s="80">
        <f>R8+R8/(N8+P8+R8+T8+V8)*0.05</f>
        <v>0.16362536512533649</v>
      </c>
      <c r="S20" s="81"/>
      <c r="T20" s="80">
        <f>T8+T8/(N8+P8+R8+T8+V8)*0.05</f>
        <v>5.340782549786622E-2</v>
      </c>
      <c r="U20" s="81"/>
      <c r="V20" s="80">
        <f>V8+V8/(N8+P8+R8+T8+V8)*0.05</f>
        <v>0.17612118986913006</v>
      </c>
      <c r="W20" s="82"/>
      <c r="X20" s="81"/>
      <c r="Y20" s="87"/>
      <c r="AE20" s="68"/>
      <c r="AF20" s="69"/>
      <c r="AG20" s="61">
        <f>L8+L8/(L8+N8+P8+T8+V8)*0.05</f>
        <v>0.22108288206006899</v>
      </c>
      <c r="AH20" s="61"/>
      <c r="AI20" s="61">
        <f>N8+N8/(L8+N8+P8+T8+V8)*0.05</f>
        <v>0.1757156343788133</v>
      </c>
      <c r="AJ20" s="61"/>
      <c r="AK20" s="61">
        <f>P8+P8/(L8+P8+N8+T8+V8)*0.05</f>
        <v>0.27065652420104963</v>
      </c>
      <c r="AL20" s="61"/>
      <c r="AM20" s="61">
        <f>R8-0.05</f>
        <v>0.10390026619233224</v>
      </c>
      <c r="AN20" s="61"/>
      <c r="AO20" s="61">
        <f>T8+T8/(L8+P8+N8+T8+V8)*0.05</f>
        <v>5.3202057501055569E-2</v>
      </c>
      <c r="AP20" s="61"/>
      <c r="AQ20" s="61">
        <f>V8+V8/(L8+P8+N8+T8+V8)*0.05</f>
        <v>0.17544263566668031</v>
      </c>
      <c r="AR20" s="61"/>
      <c r="AS20" s="61"/>
      <c r="AT20" s="60"/>
    </row>
    <row r="21" spans="1:47" x14ac:dyDescent="0.15">
      <c r="J21" s="72" t="s">
        <v>77</v>
      </c>
      <c r="K21" s="74" t="s">
        <v>78</v>
      </c>
      <c r="L21" s="46" t="s">
        <v>79</v>
      </c>
      <c r="M21" s="46" t="s">
        <v>80</v>
      </c>
      <c r="N21" s="46" t="s">
        <v>82</v>
      </c>
      <c r="O21" s="46" t="s">
        <v>83</v>
      </c>
      <c r="P21" s="46" t="s">
        <v>84</v>
      </c>
      <c r="Q21" s="46" t="s">
        <v>85</v>
      </c>
      <c r="R21" s="46" t="s">
        <v>86</v>
      </c>
      <c r="S21" s="46" t="s">
        <v>87</v>
      </c>
      <c r="T21" s="46" t="s">
        <v>88</v>
      </c>
      <c r="U21" s="46" t="s">
        <v>89</v>
      </c>
      <c r="V21" s="46" t="s">
        <v>90</v>
      </c>
      <c r="W21" s="46" t="s">
        <v>91</v>
      </c>
      <c r="X21" s="46" t="s">
        <v>142</v>
      </c>
      <c r="Y21" s="87"/>
      <c r="AE21" s="48" t="s">
        <v>77</v>
      </c>
      <c r="AF21" s="50" t="s">
        <v>78</v>
      </c>
      <c r="AG21" s="35" t="s">
        <v>79</v>
      </c>
      <c r="AH21" s="35" t="s">
        <v>80</v>
      </c>
      <c r="AI21" s="35" t="s">
        <v>82</v>
      </c>
      <c r="AJ21" s="35" t="s">
        <v>83</v>
      </c>
      <c r="AK21" s="35" t="s">
        <v>84</v>
      </c>
      <c r="AL21" s="35" t="s">
        <v>85</v>
      </c>
      <c r="AM21" s="35" t="s">
        <v>86</v>
      </c>
      <c r="AN21" s="35" t="s">
        <v>87</v>
      </c>
      <c r="AO21" s="35" t="s">
        <v>88</v>
      </c>
      <c r="AP21" s="35" t="s">
        <v>89</v>
      </c>
      <c r="AQ21" s="35" t="s">
        <v>90</v>
      </c>
      <c r="AR21" s="35" t="s">
        <v>91</v>
      </c>
      <c r="AS21" s="35" t="s">
        <v>142</v>
      </c>
      <c r="AT21" s="60"/>
    </row>
    <row r="22" spans="1:47" x14ac:dyDescent="0.15">
      <c r="J22" s="73"/>
      <c r="K22" s="75"/>
      <c r="L22" s="44">
        <v>0.6135117904356906</v>
      </c>
      <c r="M22" s="44">
        <v>0.3864882095643094</v>
      </c>
      <c r="N22" s="44">
        <v>0.5</v>
      </c>
      <c r="O22" s="44">
        <v>0.5</v>
      </c>
      <c r="P22" s="44">
        <v>0.55750666597555787</v>
      </c>
      <c r="Q22" s="44">
        <v>0.44249333402444213</v>
      </c>
      <c r="R22" s="44">
        <v>0.6135117904356906</v>
      </c>
      <c r="S22" s="44">
        <v>0.3864882095643094</v>
      </c>
      <c r="T22" s="44">
        <v>0.53373741817955345</v>
      </c>
      <c r="U22" s="44">
        <v>0.46626258182044661</v>
      </c>
      <c r="V22" s="44">
        <v>0.21577610016965845</v>
      </c>
      <c r="W22" s="44">
        <v>0.53256162579460831</v>
      </c>
      <c r="X22" s="44">
        <v>0.25166227403573327</v>
      </c>
      <c r="Y22" s="88"/>
      <c r="AE22" s="49"/>
      <c r="AF22" s="51"/>
      <c r="AG22" s="44">
        <v>0.6135117904356906</v>
      </c>
      <c r="AH22" s="44">
        <v>0.3864882095643094</v>
      </c>
      <c r="AI22" s="44">
        <v>0.5</v>
      </c>
      <c r="AJ22" s="44">
        <v>0.5</v>
      </c>
      <c r="AK22" s="44">
        <v>0.55750666597555787</v>
      </c>
      <c r="AL22" s="44">
        <v>0.44249333402444213</v>
      </c>
      <c r="AM22" s="44">
        <v>0.6135117904356906</v>
      </c>
      <c r="AN22" s="44">
        <v>0.3864882095643094</v>
      </c>
      <c r="AO22" s="44">
        <v>0.53373741817955345</v>
      </c>
      <c r="AP22" s="44">
        <v>0.46626258182044661</v>
      </c>
      <c r="AQ22" s="44">
        <v>0.21577610016965845</v>
      </c>
      <c r="AR22" s="44">
        <v>0.53256162579460831</v>
      </c>
      <c r="AS22" s="44">
        <v>0.25166227403573327</v>
      </c>
      <c r="AT22" s="60"/>
    </row>
    <row r="23" spans="1:47" x14ac:dyDescent="0.15">
      <c r="J23" s="70" t="s">
        <v>8</v>
      </c>
      <c r="K23" s="71"/>
      <c r="L23" s="45">
        <v>0.4433034482514257</v>
      </c>
      <c r="M23" s="45">
        <v>0.55051855027678676</v>
      </c>
      <c r="N23" s="45">
        <v>0.51288053587622218</v>
      </c>
      <c r="O23" s="45">
        <v>0.37050756055286743</v>
      </c>
      <c r="P23" s="45">
        <v>0.51430896088434852</v>
      </c>
      <c r="Q23" s="45">
        <v>0.1620876190266973</v>
      </c>
      <c r="R23" s="45">
        <v>0.34300712784998155</v>
      </c>
      <c r="S23" s="45">
        <v>0.29395129306453538</v>
      </c>
      <c r="T23" s="45">
        <v>0.37592585071224843</v>
      </c>
      <c r="U23" s="45">
        <v>0.40002126165400592</v>
      </c>
      <c r="V23" s="45">
        <v>0.53703123581901535</v>
      </c>
      <c r="W23" s="45">
        <v>0.56407897438442378</v>
      </c>
      <c r="X23" s="45">
        <v>0.26036599738682348</v>
      </c>
      <c r="Y23" s="45">
        <f>L$20*L$22*L23+L$20*M$22*M23+N$20*N$22*N23+N$20*O$22*O23+P$20*P$22*P23+P$20*Q$22*Q23+R$20*R$22*R23+R$20*S$22*S23+T$20*T$22*T23+T$20*U$22*U23+V$20*V$22*V23+V$20*W$22*W23+V$20*X$22*X23</f>
        <v>0.41081357758302017</v>
      </c>
      <c r="Z23" s="1" t="s">
        <v>111</v>
      </c>
      <c r="AE23" s="57" t="s">
        <v>8</v>
      </c>
      <c r="AF23" s="58"/>
      <c r="AG23" s="45">
        <v>0.4433034482514257</v>
      </c>
      <c r="AH23" s="45">
        <v>0.55051855027678676</v>
      </c>
      <c r="AI23" s="45">
        <v>0.51288053587622218</v>
      </c>
      <c r="AJ23" s="45">
        <v>0.37050756055286743</v>
      </c>
      <c r="AK23" s="45">
        <v>0.51430896088434852</v>
      </c>
      <c r="AL23" s="45">
        <v>0.1620876190266973</v>
      </c>
      <c r="AM23" s="45">
        <v>0.34300712784998155</v>
      </c>
      <c r="AN23" s="45">
        <v>0.29395129306453538</v>
      </c>
      <c r="AO23" s="45">
        <v>0.37592585071224843</v>
      </c>
      <c r="AP23" s="45">
        <v>0.40002126165400592</v>
      </c>
      <c r="AQ23" s="45">
        <v>0.53703123581901535</v>
      </c>
      <c r="AR23" s="45">
        <v>0.56407897438442378</v>
      </c>
      <c r="AS23" s="45">
        <v>0.26036599738682348</v>
      </c>
      <c r="AT23" s="37">
        <f>AG$20*AG$22*AG23+AG$20*AH$22*AH23+AI$20*AI$22*AI23+AI$20*AJ$22*AJ23+AK$20*AK$22*AK23+AK$20*AL$22*AL23+AM$20*AM$22*AM23+AM$20*AN$22*AN23+AO$20*AO$22*AO23+AO$20*AP$22*AP23+AQ$20*AQ$22*AQ23+AQ$20*AR$22*AR23+AQ$20*AS$22*AS23</f>
        <v>0.42059451641204088</v>
      </c>
      <c r="AU23" s="1">
        <v>1</v>
      </c>
    </row>
    <row r="24" spans="1:47" x14ac:dyDescent="0.15">
      <c r="J24" s="70" t="s">
        <v>9</v>
      </c>
      <c r="K24" s="71"/>
      <c r="L24" s="45">
        <v>0.41068314793118593</v>
      </c>
      <c r="M24" s="45">
        <v>0.2862962815717639</v>
      </c>
      <c r="N24" s="45">
        <v>0.33519815906638062</v>
      </c>
      <c r="O24" s="45">
        <v>0.4505721121704232</v>
      </c>
      <c r="P24" s="45">
        <v>0.3315668466458479</v>
      </c>
      <c r="Q24" s="45">
        <v>0.30065980077677995</v>
      </c>
      <c r="R24" s="45">
        <v>0.39999378758951742</v>
      </c>
      <c r="S24" s="45">
        <v>0.53414494791720257</v>
      </c>
      <c r="T24" s="45">
        <v>0.4030652869435441</v>
      </c>
      <c r="U24" s="45">
        <v>0.47612861157369207</v>
      </c>
      <c r="V24" s="45">
        <v>0.30998654389120311</v>
      </c>
      <c r="W24" s="45">
        <v>0.31680936491189832</v>
      </c>
      <c r="X24" s="45">
        <v>0.40492095089058489</v>
      </c>
      <c r="Y24" s="45">
        <f>L$20*L$22*L24+L$20*M$22*M24+N$20*N$22*N24+N$20*O$22*O24+P$20*P$22*P24+P$20*Q$22*Q24+R$20*R$22*R24+R$20*S$22*S24+T$20*T$22*T24+T$20*U$22*U24+V$20*V$22*V24+V$20*W$22*W24+V$20*X$22*X24</f>
        <v>0.36996010024539649</v>
      </c>
      <c r="Z24" s="1" t="s">
        <v>112</v>
      </c>
      <c r="AE24" s="57" t="s">
        <v>9</v>
      </c>
      <c r="AF24" s="58"/>
      <c r="AG24" s="45">
        <v>0.41068314793118593</v>
      </c>
      <c r="AH24" s="45">
        <v>0.2862962815717639</v>
      </c>
      <c r="AI24" s="45">
        <v>0.33519815906638062</v>
      </c>
      <c r="AJ24" s="45">
        <v>0.4505721121704232</v>
      </c>
      <c r="AK24" s="45">
        <v>0.3315668466458479</v>
      </c>
      <c r="AL24" s="45">
        <v>0.30065980077677995</v>
      </c>
      <c r="AM24" s="45">
        <v>0.39999378758951742</v>
      </c>
      <c r="AN24" s="45">
        <v>0.53414494791720257</v>
      </c>
      <c r="AO24" s="45">
        <v>0.4030652869435441</v>
      </c>
      <c r="AP24" s="45">
        <v>0.47612861157369207</v>
      </c>
      <c r="AQ24" s="45">
        <v>0.30998654389120311</v>
      </c>
      <c r="AR24" s="45">
        <v>0.31680936491189832</v>
      </c>
      <c r="AS24" s="45">
        <v>0.40492095089058489</v>
      </c>
      <c r="AT24" s="37">
        <f t="shared" ref="AT24:AT25" si="1">AG$20*AG$22*AG24+AG$20*AH$22*AH24+AI$20*AI$22*AI24+AI$20*AJ$22*AJ24+AK$20*AK$22*AK24+AK$20*AL$22*AL24+AM$20*AM$22*AM24+AM$20*AN$22*AN24+AO$20*AO$22*AO24+AO$20*AP$22*AP24+AQ$20*AQ$22*AQ24+AQ$20*AR$22*AR24+AQ$20*AS$22*AS24</f>
        <v>0.3646586094496822</v>
      </c>
      <c r="AU24" s="1">
        <v>2</v>
      </c>
    </row>
    <row r="25" spans="1:47" x14ac:dyDescent="0.15">
      <c r="J25" s="70" t="s">
        <v>10</v>
      </c>
      <c r="K25" s="71"/>
      <c r="L25" s="45">
        <v>0.14601340381738845</v>
      </c>
      <c r="M25" s="45">
        <v>0.16318516815144932</v>
      </c>
      <c r="N25" s="45">
        <v>0.15192130505739715</v>
      </c>
      <c r="O25" s="45">
        <v>0.17892032727670948</v>
      </c>
      <c r="P25" s="45">
        <v>0.15412419246980361</v>
      </c>
      <c r="Q25" s="45">
        <v>0.53725258019652289</v>
      </c>
      <c r="R25" s="45">
        <v>0.25699908456050108</v>
      </c>
      <c r="S25" s="45">
        <v>0.17190375901826205</v>
      </c>
      <c r="T25" s="45">
        <v>0.22100886234420744</v>
      </c>
      <c r="U25" s="45">
        <v>0.12385012677230206</v>
      </c>
      <c r="V25" s="45">
        <v>0.15298222028978137</v>
      </c>
      <c r="W25" s="45">
        <v>0.11911166070367789</v>
      </c>
      <c r="X25" s="45">
        <v>0.33471305172259175</v>
      </c>
      <c r="Y25" s="45">
        <f>L$20*L$22*L25+L$20*M$22*M25+N$20*N$22*N25+N$20*O$22*O25+P$20*P$22*P25+P$20*Q$22*Q25+R$20*R$22*R25+R$20*S$22*S25+T$20*T$22*T25+T$20*U$22*U25+V$20*V$22*V25+V$20*W$22*W25+V$20*X$22*X25</f>
        <v>0.21922632217158344</v>
      </c>
      <c r="Z25" s="1" t="s">
        <v>113</v>
      </c>
      <c r="AE25" s="57" t="s">
        <v>10</v>
      </c>
      <c r="AF25" s="58"/>
      <c r="AG25" s="45">
        <v>0.14601340381738845</v>
      </c>
      <c r="AH25" s="45">
        <v>0.16318516815144932</v>
      </c>
      <c r="AI25" s="45">
        <v>0.15192130505739715</v>
      </c>
      <c r="AJ25" s="45">
        <v>0.17892032727670948</v>
      </c>
      <c r="AK25" s="45">
        <v>0.15412419246980361</v>
      </c>
      <c r="AL25" s="45">
        <v>0.53725258019652289</v>
      </c>
      <c r="AM25" s="45">
        <v>0.25699908456050108</v>
      </c>
      <c r="AN25" s="45">
        <v>0.17190375901826205</v>
      </c>
      <c r="AO25" s="45">
        <v>0.22100886234420744</v>
      </c>
      <c r="AP25" s="45">
        <v>0.12385012677230206</v>
      </c>
      <c r="AQ25" s="45">
        <v>0.15298222028978137</v>
      </c>
      <c r="AR25" s="45">
        <v>0.11911166070367789</v>
      </c>
      <c r="AS25" s="45">
        <v>0.33471305172259175</v>
      </c>
      <c r="AT25" s="37">
        <f t="shared" si="1"/>
        <v>0.21474687413827709</v>
      </c>
      <c r="AU25" s="1">
        <v>3</v>
      </c>
    </row>
    <row r="26" spans="1:47" x14ac:dyDescent="0.15"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</row>
    <row r="27" spans="1:47" x14ac:dyDescent="0.15"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</row>
    <row r="28" spans="1:47" x14ac:dyDescent="0.15"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</row>
    <row r="29" spans="1:47" x14ac:dyDescent="0.15">
      <c r="J29" s="38" t="s">
        <v>152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</row>
    <row r="30" spans="1:47" x14ac:dyDescent="0.15">
      <c r="J30" s="76" t="s">
        <v>76</v>
      </c>
      <c r="K30" s="77"/>
      <c r="L30" s="83" t="s">
        <v>52</v>
      </c>
      <c r="M30" s="85"/>
      <c r="N30" s="83" t="s">
        <v>53</v>
      </c>
      <c r="O30" s="85"/>
      <c r="P30" s="83" t="s">
        <v>54</v>
      </c>
      <c r="Q30" s="85"/>
      <c r="R30" s="83" t="s">
        <v>55</v>
      </c>
      <c r="S30" s="85"/>
      <c r="T30" s="83" t="s">
        <v>56</v>
      </c>
      <c r="U30" s="85"/>
      <c r="V30" s="83" t="s">
        <v>57</v>
      </c>
      <c r="W30" s="84"/>
      <c r="X30" s="85"/>
      <c r="Y30" s="86" t="s">
        <v>2</v>
      </c>
      <c r="AE30" s="38" t="s">
        <v>153</v>
      </c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</row>
    <row r="31" spans="1:47" x14ac:dyDescent="0.15">
      <c r="J31" s="78"/>
      <c r="K31" s="79"/>
      <c r="L31" s="80">
        <f>L8+0.05</f>
        <v>0.25874704076254662</v>
      </c>
      <c r="M31" s="81"/>
      <c r="N31" s="80">
        <f>N8-N8/(N8+P8+R8+T8+V8)*0.05</f>
        <v>0.15542708707095718</v>
      </c>
      <c r="O31" s="81"/>
      <c r="P31" s="80">
        <f>P8-P8/(N8+P8+R8+T8+V8)*0.05</f>
        <v>0.23940587473638822</v>
      </c>
      <c r="Q31" s="81"/>
      <c r="R31" s="80">
        <f>R8-R8/(N8+P8+R8+T8+V8)*0.05</f>
        <v>0.144175167259328</v>
      </c>
      <c r="S31" s="81"/>
      <c r="T31" s="80">
        <f>T8-T8/(N8+P8+R8+T8+V8)*0.05</f>
        <v>4.7059220727872032E-2</v>
      </c>
      <c r="U31" s="81"/>
      <c r="V31" s="80">
        <f>V8-V8/(N8+P8+R8+T8+V8)*0.05</f>
        <v>0.15518560944290799</v>
      </c>
      <c r="W31" s="82"/>
      <c r="X31" s="81"/>
      <c r="Y31" s="87"/>
      <c r="AE31" s="66" t="s">
        <v>76</v>
      </c>
      <c r="AF31" s="67"/>
      <c r="AG31" s="62" t="s">
        <v>52</v>
      </c>
      <c r="AH31" s="63"/>
      <c r="AI31" s="62" t="s">
        <v>53</v>
      </c>
      <c r="AJ31" s="63"/>
      <c r="AK31" s="62" t="s">
        <v>54</v>
      </c>
      <c r="AL31" s="63"/>
      <c r="AM31" s="62" t="s">
        <v>55</v>
      </c>
      <c r="AN31" s="63"/>
      <c r="AO31" s="62" t="s">
        <v>56</v>
      </c>
      <c r="AP31" s="63"/>
      <c r="AQ31" s="62" t="s">
        <v>57</v>
      </c>
      <c r="AR31" s="64"/>
      <c r="AS31" s="63"/>
      <c r="AT31" s="59" t="s">
        <v>2</v>
      </c>
    </row>
    <row r="32" spans="1:47" x14ac:dyDescent="0.15">
      <c r="J32" s="72" t="s">
        <v>77</v>
      </c>
      <c r="K32" s="74" t="s">
        <v>78</v>
      </c>
      <c r="L32" s="46" t="s">
        <v>79</v>
      </c>
      <c r="M32" s="46" t="s">
        <v>80</v>
      </c>
      <c r="N32" s="46" t="s">
        <v>82</v>
      </c>
      <c r="O32" s="46" t="s">
        <v>83</v>
      </c>
      <c r="P32" s="46" t="s">
        <v>84</v>
      </c>
      <c r="Q32" s="46" t="s">
        <v>85</v>
      </c>
      <c r="R32" s="46" t="s">
        <v>86</v>
      </c>
      <c r="S32" s="46" t="s">
        <v>87</v>
      </c>
      <c r="T32" s="46" t="s">
        <v>88</v>
      </c>
      <c r="U32" s="46" t="s">
        <v>89</v>
      </c>
      <c r="V32" s="46" t="s">
        <v>90</v>
      </c>
      <c r="W32" s="46" t="s">
        <v>91</v>
      </c>
      <c r="X32" s="46" t="s">
        <v>142</v>
      </c>
      <c r="Y32" s="87"/>
      <c r="AE32" s="68"/>
      <c r="AF32" s="69"/>
      <c r="AG32" s="61">
        <f>L8-L8/(L8+P8+N8+T8+V8)*0.05</f>
        <v>0.19641119946502422</v>
      </c>
      <c r="AH32" s="61"/>
      <c r="AI32" s="61">
        <f>N8-N8/(L8+N8+P8+T8+V8)*0.05</f>
        <v>0.1561066971423106</v>
      </c>
      <c r="AJ32" s="61"/>
      <c r="AK32" s="61">
        <f>P8-P8/(L8+P8+N8+T8+V8)*0.05</f>
        <v>0.24045268483029256</v>
      </c>
      <c r="AL32" s="61"/>
      <c r="AM32" s="61">
        <f>R8+0.05</f>
        <v>0.20390026619233226</v>
      </c>
      <c r="AN32" s="61"/>
      <c r="AO32" s="61">
        <f>T8-T8/(L8+P8+N8+T8+V8)*0.05</f>
        <v>4.7264988724682683E-2</v>
      </c>
      <c r="AP32" s="61"/>
      <c r="AQ32" s="61">
        <f>V8-V8/(L8+P8+N8+T8+V8)*0.05</f>
        <v>0.15586416364535774</v>
      </c>
      <c r="AR32" s="61"/>
      <c r="AS32" s="61"/>
      <c r="AT32" s="60"/>
    </row>
    <row r="33" spans="10:47" x14ac:dyDescent="0.15">
      <c r="J33" s="73"/>
      <c r="K33" s="75"/>
      <c r="L33" s="44">
        <v>0.6135117904356906</v>
      </c>
      <c r="M33" s="44">
        <v>0.3864882095643094</v>
      </c>
      <c r="N33" s="44">
        <v>0.5</v>
      </c>
      <c r="O33" s="44">
        <v>0.5</v>
      </c>
      <c r="P33" s="44">
        <v>0.55750666597555787</v>
      </c>
      <c r="Q33" s="44">
        <v>0.44249333402444213</v>
      </c>
      <c r="R33" s="44">
        <v>0.6135117904356906</v>
      </c>
      <c r="S33" s="44">
        <v>0.3864882095643094</v>
      </c>
      <c r="T33" s="44">
        <v>0.53373741817955345</v>
      </c>
      <c r="U33" s="44">
        <v>0.46626258182044661</v>
      </c>
      <c r="V33" s="44">
        <v>0.21577610016965845</v>
      </c>
      <c r="W33" s="44">
        <v>0.53256162579460831</v>
      </c>
      <c r="X33" s="44">
        <v>0.25166227403573327</v>
      </c>
      <c r="Y33" s="88"/>
      <c r="AE33" s="48" t="s">
        <v>77</v>
      </c>
      <c r="AF33" s="50" t="s">
        <v>78</v>
      </c>
      <c r="AG33" s="35" t="s">
        <v>79</v>
      </c>
      <c r="AH33" s="35" t="s">
        <v>80</v>
      </c>
      <c r="AI33" s="35" t="s">
        <v>82</v>
      </c>
      <c r="AJ33" s="35" t="s">
        <v>83</v>
      </c>
      <c r="AK33" s="35" t="s">
        <v>84</v>
      </c>
      <c r="AL33" s="35" t="s">
        <v>85</v>
      </c>
      <c r="AM33" s="35" t="s">
        <v>86</v>
      </c>
      <c r="AN33" s="35" t="s">
        <v>87</v>
      </c>
      <c r="AO33" s="35" t="s">
        <v>88</v>
      </c>
      <c r="AP33" s="35" t="s">
        <v>89</v>
      </c>
      <c r="AQ33" s="35" t="s">
        <v>90</v>
      </c>
      <c r="AR33" s="35" t="s">
        <v>91</v>
      </c>
      <c r="AS33" s="35" t="s">
        <v>142</v>
      </c>
      <c r="AT33" s="60"/>
    </row>
    <row r="34" spans="10:47" x14ac:dyDescent="0.15">
      <c r="J34" s="70" t="s">
        <v>8</v>
      </c>
      <c r="K34" s="71"/>
      <c r="L34" s="45">
        <v>0.4433034482514257</v>
      </c>
      <c r="M34" s="45">
        <v>0.55051855027678676</v>
      </c>
      <c r="N34" s="45">
        <v>0.51288053587622218</v>
      </c>
      <c r="O34" s="45">
        <v>0.37050756055286743</v>
      </c>
      <c r="P34" s="45">
        <v>0.51430896088434852</v>
      </c>
      <c r="Q34" s="45">
        <v>0.1620876190266973</v>
      </c>
      <c r="R34" s="45">
        <v>0.34300712784998155</v>
      </c>
      <c r="S34" s="45">
        <v>0.29395129306453538</v>
      </c>
      <c r="T34" s="45">
        <v>0.37592585071224843</v>
      </c>
      <c r="U34" s="45">
        <v>0.40002126165400592</v>
      </c>
      <c r="V34" s="45">
        <v>0.53703123581901535</v>
      </c>
      <c r="W34" s="45">
        <v>0.56407897438442378</v>
      </c>
      <c r="X34" s="45">
        <v>0.26036599738682348</v>
      </c>
      <c r="Y34" s="45">
        <f>L$31*L$33*L34+L$31*M$33*M34+N$31*N$33*N34+N$31*O$33*O34+P$31*P$33*P34+P$31*Q$33*Q34+R$31*R$33*R34+R$31*S$33*S34+T$31*T$33*T34+T$31*U$33*U34+V$31*V$33*V34+V$31*W$33*W34+V$31*X$33*X34</f>
        <v>0.41960133192928156</v>
      </c>
      <c r="Z34" s="1" t="s">
        <v>111</v>
      </c>
      <c r="AE34" s="49"/>
      <c r="AF34" s="51"/>
      <c r="AG34" s="44">
        <v>0.6135117904356906</v>
      </c>
      <c r="AH34" s="44">
        <v>0.3864882095643094</v>
      </c>
      <c r="AI34" s="44">
        <v>0.5</v>
      </c>
      <c r="AJ34" s="44">
        <v>0.5</v>
      </c>
      <c r="AK34" s="44">
        <v>0.55750666597555787</v>
      </c>
      <c r="AL34" s="44">
        <v>0.44249333402444213</v>
      </c>
      <c r="AM34" s="44">
        <v>0.6135117904356906</v>
      </c>
      <c r="AN34" s="44">
        <v>0.3864882095643094</v>
      </c>
      <c r="AO34" s="44">
        <v>0.53373741817955345</v>
      </c>
      <c r="AP34" s="44">
        <v>0.46626258182044661</v>
      </c>
      <c r="AQ34" s="44">
        <v>0.21577610016965845</v>
      </c>
      <c r="AR34" s="44">
        <v>0.53256162579460831</v>
      </c>
      <c r="AS34" s="44">
        <v>0.25166227403573327</v>
      </c>
      <c r="AT34" s="60"/>
    </row>
    <row r="35" spans="10:47" x14ac:dyDescent="0.15">
      <c r="J35" s="70" t="s">
        <v>9</v>
      </c>
      <c r="K35" s="71"/>
      <c r="L35" s="45">
        <v>0.41068314793118593</v>
      </c>
      <c r="M35" s="45">
        <v>0.2862962815717639</v>
      </c>
      <c r="N35" s="45">
        <v>0.33519815906638062</v>
      </c>
      <c r="O35" s="45">
        <v>0.4505721121704232</v>
      </c>
      <c r="P35" s="45">
        <v>0.3315668466458479</v>
      </c>
      <c r="Q35" s="45">
        <v>0.30065980077677995</v>
      </c>
      <c r="R35" s="45">
        <v>0.39999378758951742</v>
      </c>
      <c r="S35" s="45">
        <v>0.53414494791720257</v>
      </c>
      <c r="T35" s="45">
        <v>0.4030652869435441</v>
      </c>
      <c r="U35" s="45">
        <v>0.47612861157369207</v>
      </c>
      <c r="V35" s="45">
        <v>0.30998654389120311</v>
      </c>
      <c r="W35" s="45">
        <v>0.31680936491189832</v>
      </c>
      <c r="X35" s="45">
        <v>0.40492095089058489</v>
      </c>
      <c r="Y35" s="45">
        <f t="shared" ref="Y35:Y36" si="2">L$31*L$33*L35+L$31*M$33*M35+N$31*N$33*N35+N$31*O$33*O35+P$31*P$33*P35+P$31*Q$33*Q35+R$31*R$33*R35+R$31*S$33*S35+T$31*T$33*T35+T$31*U$33*U35+V$31*V$33*V35+V$31*W$33*W35+V$31*X$33*X35</f>
        <v>0.36908628345746602</v>
      </c>
      <c r="Z35" s="1" t="s">
        <v>112</v>
      </c>
      <c r="AE35" s="57" t="s">
        <v>8</v>
      </c>
      <c r="AF35" s="58"/>
      <c r="AG35" s="45">
        <v>0.4433034482514257</v>
      </c>
      <c r="AH35" s="45">
        <v>0.55051855027678676</v>
      </c>
      <c r="AI35" s="45">
        <v>0.51288053587622218</v>
      </c>
      <c r="AJ35" s="45">
        <v>0.37050756055286743</v>
      </c>
      <c r="AK35" s="45">
        <v>0.51430896088434852</v>
      </c>
      <c r="AL35" s="45">
        <v>0.1620876190266973</v>
      </c>
      <c r="AM35" s="45">
        <v>0.34300712784998155</v>
      </c>
      <c r="AN35" s="45">
        <v>0.29395129306453538</v>
      </c>
      <c r="AO35" s="45">
        <v>0.37592585071224843</v>
      </c>
      <c r="AP35" s="45">
        <v>0.40002126165400592</v>
      </c>
      <c r="AQ35" s="45">
        <v>0.53703123581901535</v>
      </c>
      <c r="AR35" s="45">
        <v>0.56407897438442378</v>
      </c>
      <c r="AS35" s="45">
        <v>0.26036599738682348</v>
      </c>
      <c r="AT35" s="37">
        <f>AG$32*AG$34*AG35+AG$32*AH$34*AH35+AI$32*AI$34*AI35+AI$32*AJ$34*AJ35+AK$32*AK$34*AK35+AK$32*AL$34*AL35+AM$32*AM$34*AM35+AM$32*AN$34*AN35+AO$32*AO$34*AO35+AO$32*AP$34*AP35+AQ$32*AQ$34*AQ35+AQ$32*AR$34*AR35+AQ$32*AS$34*AS35</f>
        <v>0.40982039310026097</v>
      </c>
      <c r="AU35" s="1">
        <v>1</v>
      </c>
    </row>
    <row r="36" spans="10:47" x14ac:dyDescent="0.15">
      <c r="J36" s="70" t="s">
        <v>10</v>
      </c>
      <c r="K36" s="71"/>
      <c r="L36" s="45">
        <v>0.14601340381738845</v>
      </c>
      <c r="M36" s="45">
        <v>0.16318516815144932</v>
      </c>
      <c r="N36" s="45">
        <v>0.15192130505739715</v>
      </c>
      <c r="O36" s="45">
        <v>0.17892032727670948</v>
      </c>
      <c r="P36" s="45">
        <v>0.15412419246980361</v>
      </c>
      <c r="Q36" s="45">
        <v>0.53725258019652289</v>
      </c>
      <c r="R36" s="45">
        <v>0.25699908456050108</v>
      </c>
      <c r="S36" s="45">
        <v>0.17190375901826205</v>
      </c>
      <c r="T36" s="45">
        <v>0.22100886234420744</v>
      </c>
      <c r="U36" s="45">
        <v>0.12385012677230206</v>
      </c>
      <c r="V36" s="45">
        <v>0.15298222028978137</v>
      </c>
      <c r="W36" s="45">
        <v>0.11911166070367789</v>
      </c>
      <c r="X36" s="45">
        <v>0.33471305172259175</v>
      </c>
      <c r="Y36" s="45">
        <f t="shared" si="2"/>
        <v>0.21131238461325244</v>
      </c>
      <c r="Z36" s="1" t="s">
        <v>113</v>
      </c>
      <c r="AE36" s="57" t="s">
        <v>9</v>
      </c>
      <c r="AF36" s="58"/>
      <c r="AG36" s="45">
        <v>0.41068314793118593</v>
      </c>
      <c r="AH36" s="45">
        <v>0.2862962815717639</v>
      </c>
      <c r="AI36" s="45">
        <v>0.33519815906638062</v>
      </c>
      <c r="AJ36" s="45">
        <v>0.4505721121704232</v>
      </c>
      <c r="AK36" s="45">
        <v>0.3315668466458479</v>
      </c>
      <c r="AL36" s="45">
        <v>0.30065980077677995</v>
      </c>
      <c r="AM36" s="45">
        <v>0.39999378758951742</v>
      </c>
      <c r="AN36" s="45">
        <v>0.53414494791720257</v>
      </c>
      <c r="AO36" s="45">
        <v>0.4030652869435441</v>
      </c>
      <c r="AP36" s="45">
        <v>0.47612861157369207</v>
      </c>
      <c r="AQ36" s="45">
        <v>0.30998654389120311</v>
      </c>
      <c r="AR36" s="45">
        <v>0.31680936491189832</v>
      </c>
      <c r="AS36" s="45">
        <v>0.40492095089058489</v>
      </c>
      <c r="AT36" s="37">
        <f t="shared" ref="AT36:AT37" si="3">AG$32*AG$34*AG36+AG$32*AH$34*AH36+AI$32*AI$34*AI36+AI$32*AJ$34*AJ36+AK$32*AK$34*AK36+AK$32*AL$34*AL36+AM$32*AM$34*AM36+AM$32*AN$34*AN36+AO$32*AO$34*AO36+AO$32*AP$34*AP36+AQ$32*AQ$34*AQ36+AQ$32*AR$34*AR36+AQ$32*AS$34*AS36</f>
        <v>0.37438777425318048</v>
      </c>
      <c r="AU36" s="1">
        <v>2</v>
      </c>
    </row>
    <row r="37" spans="10:47" x14ac:dyDescent="0.15"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AE37" s="57" t="s">
        <v>10</v>
      </c>
      <c r="AF37" s="58"/>
      <c r="AG37" s="45">
        <v>0.14601340381738845</v>
      </c>
      <c r="AH37" s="45">
        <v>0.16318516815144932</v>
      </c>
      <c r="AI37" s="45">
        <v>0.15192130505739715</v>
      </c>
      <c r="AJ37" s="45">
        <v>0.17892032727670948</v>
      </c>
      <c r="AK37" s="45">
        <v>0.15412419246980361</v>
      </c>
      <c r="AL37" s="45">
        <v>0.53725258019652289</v>
      </c>
      <c r="AM37" s="45">
        <v>0.25699908456050108</v>
      </c>
      <c r="AN37" s="45">
        <v>0.17190375901826205</v>
      </c>
      <c r="AO37" s="45">
        <v>0.22100886234420744</v>
      </c>
      <c r="AP37" s="45">
        <v>0.12385012677230206</v>
      </c>
      <c r="AQ37" s="45">
        <v>0.15298222028978137</v>
      </c>
      <c r="AR37" s="45">
        <v>0.11911166070367789</v>
      </c>
      <c r="AS37" s="45">
        <v>0.33471305172259175</v>
      </c>
      <c r="AT37" s="37">
        <f t="shared" si="3"/>
        <v>0.2157918326465588</v>
      </c>
      <c r="AU37" s="1">
        <v>3</v>
      </c>
    </row>
    <row r="38" spans="10:47" x14ac:dyDescent="0.15"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</row>
    <row r="39" spans="10:47" x14ac:dyDescent="0.15"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</row>
    <row r="40" spans="10:47" x14ac:dyDescent="0.15"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</row>
    <row r="41" spans="10:47" x14ac:dyDescent="0.15">
      <c r="J41" s="38" t="s">
        <v>154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AE41" s="38" t="s">
        <v>155</v>
      </c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</row>
    <row r="42" spans="10:47" x14ac:dyDescent="0.15">
      <c r="J42" s="76" t="s">
        <v>76</v>
      </c>
      <c r="K42" s="77"/>
      <c r="L42" s="83" t="s">
        <v>52</v>
      </c>
      <c r="M42" s="85"/>
      <c r="N42" s="83" t="s">
        <v>53</v>
      </c>
      <c r="O42" s="85"/>
      <c r="P42" s="83" t="s">
        <v>54</v>
      </c>
      <c r="Q42" s="85"/>
      <c r="R42" s="83" t="s">
        <v>55</v>
      </c>
      <c r="S42" s="85"/>
      <c r="T42" s="83" t="s">
        <v>56</v>
      </c>
      <c r="U42" s="85"/>
      <c r="V42" s="83" t="s">
        <v>57</v>
      </c>
      <c r="W42" s="84"/>
      <c r="X42" s="85"/>
      <c r="Y42" s="86" t="s">
        <v>2</v>
      </c>
      <c r="AE42" s="66" t="s">
        <v>76</v>
      </c>
      <c r="AF42" s="67"/>
      <c r="AG42" s="62" t="s">
        <v>52</v>
      </c>
      <c r="AH42" s="63"/>
      <c r="AI42" s="62" t="s">
        <v>53</v>
      </c>
      <c r="AJ42" s="63"/>
      <c r="AK42" s="62" t="s">
        <v>54</v>
      </c>
      <c r="AL42" s="63"/>
      <c r="AM42" s="62" t="s">
        <v>55</v>
      </c>
      <c r="AN42" s="63"/>
      <c r="AO42" s="62" t="s">
        <v>56</v>
      </c>
      <c r="AP42" s="63"/>
      <c r="AQ42" s="62" t="s">
        <v>57</v>
      </c>
      <c r="AR42" s="64"/>
      <c r="AS42" s="63"/>
      <c r="AT42" s="59" t="s">
        <v>2</v>
      </c>
    </row>
    <row r="43" spans="10:47" x14ac:dyDescent="0.15">
      <c r="J43" s="78"/>
      <c r="K43" s="79"/>
      <c r="L43" s="80">
        <f>L8+L8/(L8+P8+R8+T8+V8)*0.05</f>
        <v>0.22126051847579833</v>
      </c>
      <c r="M43" s="81"/>
      <c r="N43" s="80">
        <f>N8-0.05</f>
        <v>0.11591116576056194</v>
      </c>
      <c r="O43" s="81"/>
      <c r="P43" s="80">
        <f>P8+P8/(L8+P8+R8+T8+V8)*0.05</f>
        <v>0.27087399221306774</v>
      </c>
      <c r="Q43" s="81"/>
      <c r="R43" s="80">
        <f>R8+R8/(L8+P8+R8+T8+V8)*0.05</f>
        <v>0.16312591817775091</v>
      </c>
      <c r="S43" s="81"/>
      <c r="T43" s="80">
        <f>T8+T8/(L8+P8+R8+T8+V8)*0.05</f>
        <v>5.3244804468689844E-2</v>
      </c>
      <c r="U43" s="81"/>
      <c r="V43" s="80">
        <f>V8+V8/(L8+P8+R8+T8+V8)*0.05</f>
        <v>0.17558360090413128</v>
      </c>
      <c r="W43" s="82"/>
      <c r="X43" s="81"/>
      <c r="Y43" s="87"/>
      <c r="AE43" s="68"/>
      <c r="AF43" s="69"/>
      <c r="AG43" s="61">
        <f>L8+L8/(L8+P8+N8+R8+V8)*0.05</f>
        <v>0.21973642846165328</v>
      </c>
      <c r="AH43" s="61"/>
      <c r="AI43" s="61">
        <f>N8+N8/(L8+P8+N8+R8+V8)*0.05</f>
        <v>0.17464547939438999</v>
      </c>
      <c r="AJ43" s="61"/>
      <c r="AK43" s="61">
        <f>P8+P8/(L8+P8+N8+R8+V8)*0.05</f>
        <v>0.26900815392674599</v>
      </c>
      <c r="AL43" s="61"/>
      <c r="AM43" s="61">
        <f>R8+R8/(L8+P8+N8+R8+V8)*0.05</f>
        <v>0.16200227178726237</v>
      </c>
      <c r="AN43" s="61"/>
      <c r="AO43" s="61">
        <f>T8-0.05</f>
        <v>2.3352311286912314E-4</v>
      </c>
      <c r="AP43" s="61"/>
      <c r="AQ43" s="61">
        <f>V8+V8/(L8+P8+N8+R8+V8)*0.05</f>
        <v>0.17437414331707926</v>
      </c>
      <c r="AR43" s="61"/>
      <c r="AS43" s="61"/>
      <c r="AT43" s="60"/>
    </row>
    <row r="44" spans="10:47" x14ac:dyDescent="0.15">
      <c r="J44" s="72" t="s">
        <v>77</v>
      </c>
      <c r="K44" s="74" t="s">
        <v>78</v>
      </c>
      <c r="L44" s="46" t="s">
        <v>79</v>
      </c>
      <c r="M44" s="46" t="s">
        <v>80</v>
      </c>
      <c r="N44" s="46" t="s">
        <v>82</v>
      </c>
      <c r="O44" s="46" t="s">
        <v>83</v>
      </c>
      <c r="P44" s="46" t="s">
        <v>84</v>
      </c>
      <c r="Q44" s="46" t="s">
        <v>85</v>
      </c>
      <c r="R44" s="46" t="s">
        <v>86</v>
      </c>
      <c r="S44" s="46" t="s">
        <v>87</v>
      </c>
      <c r="T44" s="46" t="s">
        <v>88</v>
      </c>
      <c r="U44" s="46" t="s">
        <v>89</v>
      </c>
      <c r="V44" s="46" t="s">
        <v>90</v>
      </c>
      <c r="W44" s="46" t="s">
        <v>91</v>
      </c>
      <c r="X44" s="46" t="s">
        <v>142</v>
      </c>
      <c r="Y44" s="87"/>
      <c r="AE44" s="48" t="s">
        <v>77</v>
      </c>
      <c r="AF44" s="50" t="s">
        <v>78</v>
      </c>
      <c r="AG44" s="35" t="s">
        <v>79</v>
      </c>
      <c r="AH44" s="35" t="s">
        <v>80</v>
      </c>
      <c r="AI44" s="35" t="s">
        <v>82</v>
      </c>
      <c r="AJ44" s="35" t="s">
        <v>83</v>
      </c>
      <c r="AK44" s="35" t="s">
        <v>84</v>
      </c>
      <c r="AL44" s="35" t="s">
        <v>85</v>
      </c>
      <c r="AM44" s="35" t="s">
        <v>86</v>
      </c>
      <c r="AN44" s="35" t="s">
        <v>87</v>
      </c>
      <c r="AO44" s="35" t="s">
        <v>88</v>
      </c>
      <c r="AP44" s="35" t="s">
        <v>89</v>
      </c>
      <c r="AQ44" s="35" t="s">
        <v>90</v>
      </c>
      <c r="AR44" s="35" t="s">
        <v>91</v>
      </c>
      <c r="AS44" s="35" t="s">
        <v>142</v>
      </c>
      <c r="AT44" s="60"/>
    </row>
    <row r="45" spans="10:47" x14ac:dyDescent="0.15">
      <c r="J45" s="73"/>
      <c r="K45" s="75"/>
      <c r="L45" s="44">
        <v>0.6135117904356906</v>
      </c>
      <c r="M45" s="44">
        <v>0.3864882095643094</v>
      </c>
      <c r="N45" s="44">
        <v>0.5</v>
      </c>
      <c r="O45" s="44">
        <v>0.5</v>
      </c>
      <c r="P45" s="44">
        <v>0.55750666597555787</v>
      </c>
      <c r="Q45" s="44">
        <v>0.44249333402444213</v>
      </c>
      <c r="R45" s="44">
        <v>0.6135117904356906</v>
      </c>
      <c r="S45" s="44">
        <v>0.3864882095643094</v>
      </c>
      <c r="T45" s="44">
        <v>0.53373741817955345</v>
      </c>
      <c r="U45" s="44">
        <v>0.46626258182044661</v>
      </c>
      <c r="V45" s="44">
        <v>0.21577610016965845</v>
      </c>
      <c r="W45" s="44">
        <v>0.53256162579460831</v>
      </c>
      <c r="X45" s="44">
        <v>0.25166227403573327</v>
      </c>
      <c r="Y45" s="88"/>
      <c r="AE45" s="49"/>
      <c r="AF45" s="51"/>
      <c r="AG45" s="44">
        <v>0.6135117904356906</v>
      </c>
      <c r="AH45" s="44">
        <v>0.3864882095643094</v>
      </c>
      <c r="AI45" s="44">
        <v>0.5</v>
      </c>
      <c r="AJ45" s="44">
        <v>0.5</v>
      </c>
      <c r="AK45" s="44">
        <v>0.55750666597555787</v>
      </c>
      <c r="AL45" s="44">
        <v>0.44249333402444213</v>
      </c>
      <c r="AM45" s="44">
        <v>0.6135117904356906</v>
      </c>
      <c r="AN45" s="44">
        <v>0.3864882095643094</v>
      </c>
      <c r="AO45" s="44">
        <v>0.53373741817955345</v>
      </c>
      <c r="AP45" s="44">
        <v>0.46626258182044661</v>
      </c>
      <c r="AQ45" s="44">
        <v>0.21577610016965845</v>
      </c>
      <c r="AR45" s="44">
        <v>0.53256162579460831</v>
      </c>
      <c r="AS45" s="44">
        <v>0.25166227403573327</v>
      </c>
      <c r="AT45" s="60"/>
    </row>
    <row r="46" spans="10:47" x14ac:dyDescent="0.15">
      <c r="J46" s="70" t="s">
        <v>8</v>
      </c>
      <c r="K46" s="71"/>
      <c r="L46" s="45">
        <v>0.4433034482514257</v>
      </c>
      <c r="M46" s="45">
        <v>0.55051855027678676</v>
      </c>
      <c r="N46" s="45">
        <v>0.51288053587622218</v>
      </c>
      <c r="O46" s="45">
        <v>0.37050756055286743</v>
      </c>
      <c r="P46" s="45">
        <v>0.51430896088434852</v>
      </c>
      <c r="Q46" s="45">
        <v>0.1620876190266973</v>
      </c>
      <c r="R46" s="45">
        <v>0.34300712784998155</v>
      </c>
      <c r="S46" s="45">
        <v>0.29395129306453538</v>
      </c>
      <c r="T46" s="45">
        <v>0.37592585071224843</v>
      </c>
      <c r="U46" s="45">
        <v>0.40002126165400592</v>
      </c>
      <c r="V46" s="45">
        <v>0.53703123581901535</v>
      </c>
      <c r="W46" s="45">
        <v>0.56407897438442378</v>
      </c>
      <c r="X46" s="45">
        <v>0.26036599738682348</v>
      </c>
      <c r="Y46" s="45">
        <f>L$43*L$45*L46+L$43*M$45*M46+N$43*N$45*N46+N$43*O$45*O46+P$43*P$45*P46+P$43*Q$45*Q46+R$43*R$45*R46+R$43*S$45*S46+T$43*T$45*T46+T$43*U$45*U46+V$43*V$45*V46+V$43*W$45*W46+V$43*X$45*X46</f>
        <v>0.41361969861009568</v>
      </c>
      <c r="Z46" s="1" t="s">
        <v>111</v>
      </c>
      <c r="AE46" s="57" t="s">
        <v>8</v>
      </c>
      <c r="AF46" s="58"/>
      <c r="AG46" s="45">
        <v>0.4433034482514257</v>
      </c>
      <c r="AH46" s="45">
        <v>0.55051855027678676</v>
      </c>
      <c r="AI46" s="45">
        <v>0.51288053587622218</v>
      </c>
      <c r="AJ46" s="45">
        <v>0.37050756055286743</v>
      </c>
      <c r="AK46" s="45">
        <v>0.51430896088434852</v>
      </c>
      <c r="AL46" s="45">
        <v>0.1620876190266973</v>
      </c>
      <c r="AM46" s="45">
        <v>0.34300712784998155</v>
      </c>
      <c r="AN46" s="45">
        <v>0.29395129306453538</v>
      </c>
      <c r="AO46" s="45">
        <v>0.37592585071224843</v>
      </c>
      <c r="AP46" s="45">
        <v>0.40002126165400592</v>
      </c>
      <c r="AQ46" s="45">
        <v>0.53703123581901535</v>
      </c>
      <c r="AR46" s="45">
        <v>0.56407897438442378</v>
      </c>
      <c r="AS46" s="45">
        <v>0.26036599738682348</v>
      </c>
      <c r="AT46" s="37">
        <f>AG$43*AG$45*AG46+AG$43*AH$45*AH46+AI$43*AI$45*AI46+AI$43*AJ$45*AJ46+AK$43*AK$45*AK46+AK$43*AL$45*AL46+AM$43*AM$45*AM46+AM$43*AN$45*AN46+AO$43*AO$45*AO46+AO$43*AP$45*AP46+AQ$43*AQ$45*AQ46+AQ$43*AR$45*AR46+AQ$43*AS$45*AS46</f>
        <v>0.41668396588866091</v>
      </c>
      <c r="AU46" s="1">
        <v>1</v>
      </c>
    </row>
    <row r="47" spans="10:47" x14ac:dyDescent="0.15">
      <c r="J47" s="70" t="s">
        <v>9</v>
      </c>
      <c r="K47" s="71"/>
      <c r="L47" s="45">
        <v>0.41068314793118593</v>
      </c>
      <c r="M47" s="45">
        <v>0.2862962815717639</v>
      </c>
      <c r="N47" s="45">
        <v>0.33519815906638062</v>
      </c>
      <c r="O47" s="45">
        <v>0.4505721121704232</v>
      </c>
      <c r="P47" s="45">
        <v>0.3315668466458479</v>
      </c>
      <c r="Q47" s="45">
        <v>0.30065980077677995</v>
      </c>
      <c r="R47" s="45">
        <v>0.39999378758951742</v>
      </c>
      <c r="S47" s="45">
        <v>0.53414494791720257</v>
      </c>
      <c r="T47" s="45">
        <v>0.4030652869435441</v>
      </c>
      <c r="U47" s="45">
        <v>0.47612861157369207</v>
      </c>
      <c r="V47" s="45">
        <v>0.30998654389120311</v>
      </c>
      <c r="W47" s="45">
        <v>0.31680936491189832</v>
      </c>
      <c r="X47" s="45">
        <v>0.40492095089058489</v>
      </c>
      <c r="Y47" s="45">
        <f t="shared" ref="Y47:Y48" si="4">L$43*L$45*L47+L$43*M$45*M47+N$43*N$45*N47+N$43*O$45*O47+P$43*P$45*P47+P$43*Q$45*Q47+R$43*R$45*R47+R$43*S$45*S47+T$43*T$45*T47+T$43*U$45*U47+V$43*V$45*V47+V$43*W$45*W47+V$43*X$45*X47</f>
        <v>0.36812274487216712</v>
      </c>
      <c r="Z47" s="1" t="s">
        <v>112</v>
      </c>
      <c r="AE47" s="57" t="s">
        <v>9</v>
      </c>
      <c r="AF47" s="58"/>
      <c r="AG47" s="45">
        <v>0.41068314793118593</v>
      </c>
      <c r="AH47" s="45">
        <v>0.2862962815717639</v>
      </c>
      <c r="AI47" s="45">
        <v>0.33519815906638062</v>
      </c>
      <c r="AJ47" s="45">
        <v>0.4505721121704232</v>
      </c>
      <c r="AK47" s="45">
        <v>0.3315668466458479</v>
      </c>
      <c r="AL47" s="45">
        <v>0.30065980077677995</v>
      </c>
      <c r="AM47" s="45">
        <v>0.39999378758951742</v>
      </c>
      <c r="AN47" s="45">
        <v>0.53414494791720257</v>
      </c>
      <c r="AO47" s="45">
        <v>0.4030652869435441</v>
      </c>
      <c r="AP47" s="45">
        <v>0.47612861157369207</v>
      </c>
      <c r="AQ47" s="45">
        <v>0.30998654389120311</v>
      </c>
      <c r="AR47" s="45">
        <v>0.31680936491189832</v>
      </c>
      <c r="AS47" s="45">
        <v>0.40492095089058489</v>
      </c>
      <c r="AT47" s="37">
        <f t="shared" ref="AT47:AT48" si="5">AG$43*AG$45*AG47+AG$43*AH$45*AH47+AI$43*AI$45*AI47+AI$43*AJ$45*AJ47+AK$43*AK$45*AK47+AK$43*AL$45*AL47+AM$43*AM$45*AM47+AM$43*AN$45*AN47+AO$43*AO$45*AO47+AO$43*AP$45*AP47+AQ$43*AQ$45*AQ47+AQ$43*AR$45*AR47+AQ$43*AS$45*AS47</f>
        <v>0.36596395960246098</v>
      </c>
      <c r="AU47" s="1">
        <v>2</v>
      </c>
    </row>
    <row r="48" spans="10:47" x14ac:dyDescent="0.15">
      <c r="J48" s="70" t="s">
        <v>10</v>
      </c>
      <c r="K48" s="71"/>
      <c r="L48" s="45">
        <v>0.14601340381738845</v>
      </c>
      <c r="M48" s="45">
        <v>0.16318516815144932</v>
      </c>
      <c r="N48" s="45">
        <v>0.15192130505739715</v>
      </c>
      <c r="O48" s="45">
        <v>0.17892032727670948</v>
      </c>
      <c r="P48" s="45">
        <v>0.15412419246980361</v>
      </c>
      <c r="Q48" s="45">
        <v>0.53725258019652289</v>
      </c>
      <c r="R48" s="45">
        <v>0.25699908456050108</v>
      </c>
      <c r="S48" s="45">
        <v>0.17190375901826205</v>
      </c>
      <c r="T48" s="45">
        <v>0.22100886234420744</v>
      </c>
      <c r="U48" s="45">
        <v>0.12385012677230206</v>
      </c>
      <c r="V48" s="45">
        <v>0.15298222028978137</v>
      </c>
      <c r="W48" s="45">
        <v>0.11911166070367789</v>
      </c>
      <c r="X48" s="45">
        <v>0.33471305172259175</v>
      </c>
      <c r="Y48" s="45">
        <f t="shared" si="4"/>
        <v>0.21825755651773726</v>
      </c>
      <c r="Z48" s="1" t="s">
        <v>113</v>
      </c>
      <c r="AE48" s="57" t="s">
        <v>10</v>
      </c>
      <c r="AF48" s="58"/>
      <c r="AG48" s="45">
        <v>0.14601340381738845</v>
      </c>
      <c r="AH48" s="45">
        <v>0.16318516815144932</v>
      </c>
      <c r="AI48" s="45">
        <v>0.15192130505739715</v>
      </c>
      <c r="AJ48" s="45">
        <v>0.17892032727670948</v>
      </c>
      <c r="AK48" s="45">
        <v>0.15412419246980361</v>
      </c>
      <c r="AL48" s="45">
        <v>0.53725258019652289</v>
      </c>
      <c r="AM48" s="45">
        <v>0.25699908456050108</v>
      </c>
      <c r="AN48" s="45">
        <v>0.17190375901826205</v>
      </c>
      <c r="AO48" s="45">
        <v>0.22100886234420744</v>
      </c>
      <c r="AP48" s="45">
        <v>0.12385012677230206</v>
      </c>
      <c r="AQ48" s="45">
        <v>0.15298222028978137</v>
      </c>
      <c r="AR48" s="45">
        <v>0.11911166070367789</v>
      </c>
      <c r="AS48" s="45">
        <v>0.33471305172259175</v>
      </c>
      <c r="AT48" s="37">
        <f t="shared" si="5"/>
        <v>0.21735207450887814</v>
      </c>
      <c r="AU48" s="1">
        <v>3</v>
      </c>
    </row>
    <row r="49" spans="10:47" x14ac:dyDescent="0.15"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</row>
    <row r="50" spans="10:47" x14ac:dyDescent="0.15"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</row>
    <row r="51" spans="10:47" x14ac:dyDescent="0.15"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</row>
    <row r="52" spans="10:47" x14ac:dyDescent="0.15"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</row>
    <row r="53" spans="10:47" x14ac:dyDescent="0.15">
      <c r="J53" s="38" t="s">
        <v>156</v>
      </c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AE53" s="38" t="s">
        <v>157</v>
      </c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</row>
    <row r="54" spans="10:47" x14ac:dyDescent="0.15">
      <c r="J54" s="76" t="s">
        <v>76</v>
      </c>
      <c r="K54" s="77"/>
      <c r="L54" s="83" t="s">
        <v>52</v>
      </c>
      <c r="M54" s="85"/>
      <c r="N54" s="83" t="s">
        <v>53</v>
      </c>
      <c r="O54" s="85"/>
      <c r="P54" s="83" t="s">
        <v>54</v>
      </c>
      <c r="Q54" s="85"/>
      <c r="R54" s="83" t="s">
        <v>55</v>
      </c>
      <c r="S54" s="85"/>
      <c r="T54" s="83" t="s">
        <v>56</v>
      </c>
      <c r="U54" s="85"/>
      <c r="V54" s="83" t="s">
        <v>57</v>
      </c>
      <c r="W54" s="84"/>
      <c r="X54" s="85"/>
      <c r="Y54" s="86" t="s">
        <v>2</v>
      </c>
      <c r="AE54" s="66" t="s">
        <v>76</v>
      </c>
      <c r="AF54" s="67"/>
      <c r="AG54" s="62" t="s">
        <v>52</v>
      </c>
      <c r="AH54" s="63"/>
      <c r="AI54" s="62" t="s">
        <v>53</v>
      </c>
      <c r="AJ54" s="63"/>
      <c r="AK54" s="62" t="s">
        <v>54</v>
      </c>
      <c r="AL54" s="63"/>
      <c r="AM54" s="62" t="s">
        <v>55</v>
      </c>
      <c r="AN54" s="63"/>
      <c r="AO54" s="62" t="s">
        <v>56</v>
      </c>
      <c r="AP54" s="63"/>
      <c r="AQ54" s="62" t="s">
        <v>57</v>
      </c>
      <c r="AR54" s="64"/>
      <c r="AS54" s="63"/>
      <c r="AT54" s="59" t="s">
        <v>2</v>
      </c>
    </row>
    <row r="55" spans="10:47" x14ac:dyDescent="0.15">
      <c r="J55" s="78"/>
      <c r="K55" s="79"/>
      <c r="L55" s="80">
        <f>L8-L8/(L8+P8+R8+T8+V8)*0.05</f>
        <v>0.19623356304929487</v>
      </c>
      <c r="M55" s="81"/>
      <c r="N55" s="80">
        <f>N8+0.05</f>
        <v>0.21591116576056196</v>
      </c>
      <c r="O55" s="81"/>
      <c r="P55" s="80">
        <f>P8-P8/(L8+P8+R8+T8+V8)*0.05</f>
        <v>0.24023521681827445</v>
      </c>
      <c r="Q55" s="81"/>
      <c r="R55" s="80">
        <f>R8-R8/(L8+P8+R8+T8+V8)*0.05</f>
        <v>0.14467461420691358</v>
      </c>
      <c r="S55" s="81"/>
      <c r="T55" s="80">
        <f>T8-T8/(L8+P8+R8+T8+V8)*0.05</f>
        <v>4.7222241757048408E-2</v>
      </c>
      <c r="U55" s="81"/>
      <c r="V55" s="80">
        <f>V8-V8/(L8+P8+R8+T8+V8)*0.05</f>
        <v>0.15572319840790677</v>
      </c>
      <c r="W55" s="82"/>
      <c r="X55" s="81"/>
      <c r="Y55" s="87"/>
      <c r="AE55" s="68"/>
      <c r="AF55" s="69"/>
      <c r="AG55" s="61">
        <f>L8-L8/(L8+P8+N8+R8+V8)*0.05</f>
        <v>0.19775765306343993</v>
      </c>
      <c r="AH55" s="61"/>
      <c r="AI55" s="61">
        <f>N8-N8/(L8+P8+N8+R8+V8)*0.05</f>
        <v>0.15717685212673391</v>
      </c>
      <c r="AJ55" s="61"/>
      <c r="AK55" s="61">
        <f>P8-P8/(L8+P8+N8+R8+V8)*0.05</f>
        <v>0.24210105510459617</v>
      </c>
      <c r="AL55" s="61"/>
      <c r="AM55" s="61">
        <f>R8-R8/(L8+P8+N8+R8+V8)*0.05</f>
        <v>0.14579826059740211</v>
      </c>
      <c r="AN55" s="61"/>
      <c r="AO55" s="61">
        <f>T8+0.05</f>
        <v>0.10023352311286912</v>
      </c>
      <c r="AP55" s="61"/>
      <c r="AQ55" s="61">
        <f>V8-V8/(L8+P8+N8+R8+V8)*0.05</f>
        <v>0.15693265599495879</v>
      </c>
      <c r="AR55" s="61"/>
      <c r="AS55" s="61"/>
      <c r="AT55" s="60"/>
    </row>
    <row r="56" spans="10:47" x14ac:dyDescent="0.15">
      <c r="J56" s="72" t="s">
        <v>77</v>
      </c>
      <c r="K56" s="74" t="s">
        <v>78</v>
      </c>
      <c r="L56" s="46" t="s">
        <v>79</v>
      </c>
      <c r="M56" s="46" t="s">
        <v>80</v>
      </c>
      <c r="N56" s="46" t="s">
        <v>82</v>
      </c>
      <c r="O56" s="46" t="s">
        <v>83</v>
      </c>
      <c r="P56" s="46" t="s">
        <v>84</v>
      </c>
      <c r="Q56" s="46" t="s">
        <v>85</v>
      </c>
      <c r="R56" s="46" t="s">
        <v>86</v>
      </c>
      <c r="S56" s="46" t="s">
        <v>87</v>
      </c>
      <c r="T56" s="46" t="s">
        <v>88</v>
      </c>
      <c r="U56" s="46" t="s">
        <v>89</v>
      </c>
      <c r="V56" s="46" t="s">
        <v>90</v>
      </c>
      <c r="W56" s="46" t="s">
        <v>91</v>
      </c>
      <c r="X56" s="46" t="s">
        <v>142</v>
      </c>
      <c r="Y56" s="87"/>
      <c r="AE56" s="48" t="s">
        <v>77</v>
      </c>
      <c r="AF56" s="50" t="s">
        <v>78</v>
      </c>
      <c r="AG56" s="35" t="s">
        <v>79</v>
      </c>
      <c r="AH56" s="35" t="s">
        <v>80</v>
      </c>
      <c r="AI56" s="35" t="s">
        <v>82</v>
      </c>
      <c r="AJ56" s="35" t="s">
        <v>83</v>
      </c>
      <c r="AK56" s="35" t="s">
        <v>84</v>
      </c>
      <c r="AL56" s="35" t="s">
        <v>85</v>
      </c>
      <c r="AM56" s="35" t="s">
        <v>86</v>
      </c>
      <c r="AN56" s="35" t="s">
        <v>87</v>
      </c>
      <c r="AO56" s="35" t="s">
        <v>88</v>
      </c>
      <c r="AP56" s="35" t="s">
        <v>89</v>
      </c>
      <c r="AQ56" s="35" t="s">
        <v>90</v>
      </c>
      <c r="AR56" s="35" t="s">
        <v>91</v>
      </c>
      <c r="AS56" s="35" t="s">
        <v>142</v>
      </c>
      <c r="AT56" s="60"/>
    </row>
    <row r="57" spans="10:47" x14ac:dyDescent="0.15">
      <c r="J57" s="73"/>
      <c r="K57" s="75"/>
      <c r="L57" s="44">
        <v>0.6135117904356906</v>
      </c>
      <c r="M57" s="44">
        <v>0.3864882095643094</v>
      </c>
      <c r="N57" s="44">
        <v>0.5</v>
      </c>
      <c r="O57" s="44">
        <v>0.5</v>
      </c>
      <c r="P57" s="44">
        <v>0.55750666597555787</v>
      </c>
      <c r="Q57" s="44">
        <v>0.44249333402444213</v>
      </c>
      <c r="R57" s="44">
        <v>0.6135117904356906</v>
      </c>
      <c r="S57" s="44">
        <v>0.3864882095643094</v>
      </c>
      <c r="T57" s="44">
        <v>0.53373741817955345</v>
      </c>
      <c r="U57" s="44">
        <v>0.46626258182044661</v>
      </c>
      <c r="V57" s="44">
        <v>0.21577610016965845</v>
      </c>
      <c r="W57" s="44">
        <v>0.53256162579460831</v>
      </c>
      <c r="X57" s="44">
        <v>0.25166227403573327</v>
      </c>
      <c r="Y57" s="88"/>
      <c r="AE57" s="49"/>
      <c r="AF57" s="51"/>
      <c r="AG57" s="44">
        <v>0.6135117904356906</v>
      </c>
      <c r="AH57" s="44">
        <v>0.3864882095643094</v>
      </c>
      <c r="AI57" s="44">
        <v>0.5</v>
      </c>
      <c r="AJ57" s="44">
        <v>0.5</v>
      </c>
      <c r="AK57" s="44">
        <v>0.55750666597555787</v>
      </c>
      <c r="AL57" s="44">
        <v>0.44249333402444213</v>
      </c>
      <c r="AM57" s="44">
        <v>0.6135117904356906</v>
      </c>
      <c r="AN57" s="44">
        <v>0.3864882095643094</v>
      </c>
      <c r="AO57" s="44">
        <v>0.53373741817955345</v>
      </c>
      <c r="AP57" s="44">
        <v>0.46626258182044661</v>
      </c>
      <c r="AQ57" s="44">
        <v>0.21577610016965845</v>
      </c>
      <c r="AR57" s="44">
        <v>0.53256162579460831</v>
      </c>
      <c r="AS57" s="44">
        <v>0.25166227403573327</v>
      </c>
      <c r="AT57" s="60"/>
    </row>
    <row r="58" spans="10:47" x14ac:dyDescent="0.15">
      <c r="J58" s="70" t="s">
        <v>8</v>
      </c>
      <c r="K58" s="71"/>
      <c r="L58" s="45">
        <v>0.4433034482514257</v>
      </c>
      <c r="M58" s="45">
        <v>0.55051855027678676</v>
      </c>
      <c r="N58" s="45">
        <v>0.51288053587622218</v>
      </c>
      <c r="O58" s="45">
        <v>0.37050756055286743</v>
      </c>
      <c r="P58" s="45">
        <v>0.51430896088434852</v>
      </c>
      <c r="Q58" s="45">
        <v>0.1620876190266973</v>
      </c>
      <c r="R58" s="45">
        <v>0.34300712784998155</v>
      </c>
      <c r="S58" s="45">
        <v>0.29395129306453538</v>
      </c>
      <c r="T58" s="45">
        <v>0.37592585071224843</v>
      </c>
      <c r="U58" s="45">
        <v>0.40002126165400592</v>
      </c>
      <c r="V58" s="45">
        <v>0.53703123581901535</v>
      </c>
      <c r="W58" s="45">
        <v>0.56407897438442378</v>
      </c>
      <c r="X58" s="45">
        <v>0.26036599738682348</v>
      </c>
      <c r="Y58" s="45">
        <f>L$55*L$57*L58+L$55*M$57*M58+N$55*N$57*N58+N$55*O$57*O58+P$55*P$57*P58+P$55*Q$57*Q58+R$55*R$57*R58+R$55*S$57*S58+T$55*T$57*T58+T$55*U$57*U58+V$55*V$57*V58+V$55*W$57*W58+V$55*X$57*X58</f>
        <v>0.41679521090220595</v>
      </c>
      <c r="Z58" s="1" t="s">
        <v>111</v>
      </c>
      <c r="AE58" s="57" t="s">
        <v>8</v>
      </c>
      <c r="AF58" s="58"/>
      <c r="AG58" s="45">
        <v>0.4433034482514257</v>
      </c>
      <c r="AH58" s="45">
        <v>0.55051855027678676</v>
      </c>
      <c r="AI58" s="45">
        <v>0.51288053587622218</v>
      </c>
      <c r="AJ58" s="45">
        <v>0.37050756055286743</v>
      </c>
      <c r="AK58" s="45">
        <v>0.51430896088434852</v>
      </c>
      <c r="AL58" s="45">
        <v>0.1620876190266973</v>
      </c>
      <c r="AM58" s="45">
        <v>0.34300712784998155</v>
      </c>
      <c r="AN58" s="45">
        <v>0.29395129306453538</v>
      </c>
      <c r="AO58" s="45">
        <v>0.37592585071224843</v>
      </c>
      <c r="AP58" s="45">
        <v>0.40002126165400592</v>
      </c>
      <c r="AQ58" s="45">
        <v>0.53703123581901535</v>
      </c>
      <c r="AR58" s="45">
        <v>0.56407897438442378</v>
      </c>
      <c r="AS58" s="45">
        <v>0.26036599738682348</v>
      </c>
      <c r="AT58" s="37">
        <f>AG$55*AG$57*AG58+AG$55*AH$57*AH58+AI$55*AI$57*AI58+AI$55*AJ$57*AJ58+AK$55*AK$57*AK58+AK$55*AL$57*AL58+AM$55*AM$57*AM58+AM$55*AN$57*AN58+AO$55*AO$57*AO58+AO$55*AP$57*AP58+AQ$55*AQ$57*AQ58+AQ$55*AR$57*AR58+AQ$55*AS$57*AS58</f>
        <v>0.41373094362364088</v>
      </c>
      <c r="AU58" s="1">
        <v>1</v>
      </c>
    </row>
    <row r="59" spans="10:47" x14ac:dyDescent="0.15">
      <c r="J59" s="70" t="s">
        <v>9</v>
      </c>
      <c r="K59" s="71"/>
      <c r="L59" s="45">
        <v>0.41068314793118593</v>
      </c>
      <c r="M59" s="45">
        <v>0.2862962815717639</v>
      </c>
      <c r="N59" s="45">
        <v>0.33519815906638062</v>
      </c>
      <c r="O59" s="45">
        <v>0.4505721121704232</v>
      </c>
      <c r="P59" s="45">
        <v>0.3315668466458479</v>
      </c>
      <c r="Q59" s="45">
        <v>0.30065980077677995</v>
      </c>
      <c r="R59" s="45">
        <v>0.39999378758951742</v>
      </c>
      <c r="S59" s="45">
        <v>0.53414494791720257</v>
      </c>
      <c r="T59" s="45">
        <v>0.4030652869435441</v>
      </c>
      <c r="U59" s="45">
        <v>0.47612861157369207</v>
      </c>
      <c r="V59" s="45">
        <v>0.30998654389120311</v>
      </c>
      <c r="W59" s="45">
        <v>0.31680936491189832</v>
      </c>
      <c r="X59" s="45">
        <v>0.40492095089058489</v>
      </c>
      <c r="Y59" s="45">
        <f t="shared" ref="Y59" si="6">L$55*L$57*L59+L$55*M$57*M59+N$55*N$57*N59+N$55*O$57*O59+P$55*P$57*P59+P$55*Q$57*Q59+R$55*R$57*R59+R$55*S$57*S59+T$55*T$57*T59+T$55*U$57*U59+V$55*V$57*V59+V$55*W$57*W59+V$55*X$57*X59</f>
        <v>0.37092363883069529</v>
      </c>
      <c r="Z59" s="1" t="s">
        <v>112</v>
      </c>
      <c r="AE59" s="57" t="s">
        <v>9</v>
      </c>
      <c r="AF59" s="58"/>
      <c r="AG59" s="45">
        <v>0.41068314793118593</v>
      </c>
      <c r="AH59" s="45">
        <v>0.2862962815717639</v>
      </c>
      <c r="AI59" s="45">
        <v>0.33519815906638062</v>
      </c>
      <c r="AJ59" s="45">
        <v>0.4505721121704232</v>
      </c>
      <c r="AK59" s="45">
        <v>0.3315668466458479</v>
      </c>
      <c r="AL59" s="45">
        <v>0.30065980077677995</v>
      </c>
      <c r="AM59" s="45">
        <v>0.39999378758951742</v>
      </c>
      <c r="AN59" s="45">
        <v>0.53414494791720257</v>
      </c>
      <c r="AO59" s="45">
        <v>0.4030652869435441</v>
      </c>
      <c r="AP59" s="45">
        <v>0.47612861157369207</v>
      </c>
      <c r="AQ59" s="45">
        <v>0.30998654389120311</v>
      </c>
      <c r="AR59" s="45">
        <v>0.31680936491189832</v>
      </c>
      <c r="AS59" s="45">
        <v>0.40492095089058489</v>
      </c>
      <c r="AT59" s="37">
        <f t="shared" ref="AT59:AT60" si="7">AG$55*AG$57*AG59+AG$55*AH$57*AH59+AI$55*AI$57*AI59+AI$55*AJ$57*AJ59+AK$55*AK$57*AK59+AK$55*AL$57*AL59+AM$55*AM$57*AM59+AM$55*AN$57*AN59+AO$55*AO$57*AO59+AO$55*AP$57*AP59+AQ$55*AQ$57*AQ59+AQ$55*AR$57*AR59+AQ$55*AS$57*AS59</f>
        <v>0.3730824241004016</v>
      </c>
      <c r="AU59" s="1">
        <v>2</v>
      </c>
    </row>
    <row r="60" spans="10:47" x14ac:dyDescent="0.15">
      <c r="J60" s="70" t="s">
        <v>10</v>
      </c>
      <c r="K60" s="71"/>
      <c r="L60" s="45">
        <v>0.14601340381738845</v>
      </c>
      <c r="M60" s="45">
        <v>0.16318516815144932</v>
      </c>
      <c r="N60" s="45">
        <v>0.15192130505739715</v>
      </c>
      <c r="O60" s="45">
        <v>0.17892032727670948</v>
      </c>
      <c r="P60" s="45">
        <v>0.15412419246980361</v>
      </c>
      <c r="Q60" s="45">
        <v>0.53725258019652289</v>
      </c>
      <c r="R60" s="45">
        <v>0.25699908456050108</v>
      </c>
      <c r="S60" s="45">
        <v>0.17190375901826205</v>
      </c>
      <c r="T60" s="45">
        <v>0.22100886234420744</v>
      </c>
      <c r="U60" s="45">
        <v>0.12385012677230206</v>
      </c>
      <c r="V60" s="45">
        <v>0.15298222028978137</v>
      </c>
      <c r="W60" s="45">
        <v>0.11911166070367789</v>
      </c>
      <c r="X60" s="45">
        <v>0.33471305172259175</v>
      </c>
      <c r="Y60" s="45">
        <f>L$55*L$57*L60+L$55*M$57*M60+N$55*N$57*N60+N$55*O$57*O60+P$55*P$57*P60+P$55*Q$57*Q60+R$55*R$57*R60+R$55*S$57*S60+T$55*T$57*T60+T$55*U$57*U60+V$55*V$57*V60+V$55*W$57*W60+V$55*X$57*X60</f>
        <v>0.21228115026709862</v>
      </c>
      <c r="Z60" s="1" t="s">
        <v>113</v>
      </c>
      <c r="AE60" s="57" t="s">
        <v>10</v>
      </c>
      <c r="AF60" s="58"/>
      <c r="AG60" s="45">
        <v>0.14601340381738845</v>
      </c>
      <c r="AH60" s="45">
        <v>0.16318516815144932</v>
      </c>
      <c r="AI60" s="45">
        <v>0.15192130505739715</v>
      </c>
      <c r="AJ60" s="45">
        <v>0.17892032727670948</v>
      </c>
      <c r="AK60" s="45">
        <v>0.15412419246980361</v>
      </c>
      <c r="AL60" s="45">
        <v>0.53725258019652289</v>
      </c>
      <c r="AM60" s="45">
        <v>0.25699908456050108</v>
      </c>
      <c r="AN60" s="45">
        <v>0.17190375901826205</v>
      </c>
      <c r="AO60" s="45">
        <v>0.22100886234420744</v>
      </c>
      <c r="AP60" s="45">
        <v>0.12385012677230206</v>
      </c>
      <c r="AQ60" s="45">
        <v>0.15298222028978137</v>
      </c>
      <c r="AR60" s="45">
        <v>0.11911166070367789</v>
      </c>
      <c r="AS60" s="45">
        <v>0.33471305172259175</v>
      </c>
      <c r="AT60" s="37">
        <f t="shared" si="7"/>
        <v>0.21318663227595772</v>
      </c>
      <c r="AU60" s="1">
        <v>3</v>
      </c>
    </row>
    <row r="61" spans="10:47" x14ac:dyDescent="0.15"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</row>
    <row r="62" spans="10:47" x14ac:dyDescent="0.15"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</row>
    <row r="63" spans="10:47" x14ac:dyDescent="0.15"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</row>
    <row r="64" spans="10:47" x14ac:dyDescent="0.15"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</row>
    <row r="65" spans="10:47" x14ac:dyDescent="0.15">
      <c r="J65" s="38" t="s">
        <v>158</v>
      </c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AE65" s="38" t="s">
        <v>159</v>
      </c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</row>
    <row r="66" spans="10:47" x14ac:dyDescent="0.15">
      <c r="J66" s="76" t="s">
        <v>76</v>
      </c>
      <c r="K66" s="77"/>
      <c r="L66" s="83" t="s">
        <v>52</v>
      </c>
      <c r="M66" s="85"/>
      <c r="N66" s="83" t="s">
        <v>53</v>
      </c>
      <c r="O66" s="85"/>
      <c r="P66" s="83" t="s">
        <v>54</v>
      </c>
      <c r="Q66" s="85"/>
      <c r="R66" s="83" t="s">
        <v>55</v>
      </c>
      <c r="S66" s="85"/>
      <c r="T66" s="83" t="s">
        <v>56</v>
      </c>
      <c r="U66" s="85"/>
      <c r="V66" s="83" t="s">
        <v>57</v>
      </c>
      <c r="W66" s="84"/>
      <c r="X66" s="85"/>
      <c r="Y66" s="86" t="s">
        <v>2</v>
      </c>
      <c r="AE66" s="66" t="s">
        <v>76</v>
      </c>
      <c r="AF66" s="67"/>
      <c r="AG66" s="62" t="s">
        <v>52</v>
      </c>
      <c r="AH66" s="63"/>
      <c r="AI66" s="62" t="s">
        <v>53</v>
      </c>
      <c r="AJ66" s="63"/>
      <c r="AK66" s="62" t="s">
        <v>54</v>
      </c>
      <c r="AL66" s="63"/>
      <c r="AM66" s="62" t="s">
        <v>55</v>
      </c>
      <c r="AN66" s="63"/>
      <c r="AO66" s="62" t="s">
        <v>56</v>
      </c>
      <c r="AP66" s="63"/>
      <c r="AQ66" s="62" t="s">
        <v>57</v>
      </c>
      <c r="AR66" s="64"/>
      <c r="AS66" s="63"/>
      <c r="AT66" s="59" t="s">
        <v>2</v>
      </c>
    </row>
    <row r="67" spans="10:47" x14ac:dyDescent="0.15">
      <c r="J67" s="78"/>
      <c r="K67" s="79"/>
      <c r="L67" s="80">
        <f>L8+L8/(L8+N8+R8+T8+V8)*0.05</f>
        <v>0.22276734648468341</v>
      </c>
      <c r="M67" s="81"/>
      <c r="N67" s="80">
        <f>N8+N8/(L8+N8+R8+T8+V8)*0.05</f>
        <v>0.17705443877742449</v>
      </c>
      <c r="O67" s="81"/>
      <c r="P67" s="80">
        <f>P8-0.05</f>
        <v>0.20555460451567109</v>
      </c>
      <c r="Q67" s="81"/>
      <c r="R67" s="80">
        <f>R8+R8/(L8+N8+R8+T8+V8)*0.05</f>
        <v>0.1642368380299622</v>
      </c>
      <c r="S67" s="81"/>
      <c r="T67" s="80">
        <f>T8+T8/(L8+N8+R8+T8+V8)*0.05</f>
        <v>5.3607412146072675E-2</v>
      </c>
      <c r="U67" s="81"/>
      <c r="V67" s="80">
        <f>V8+V8/(L8+N8+R8+T8+V8)*0.05</f>
        <v>0.17677936004618616</v>
      </c>
      <c r="W67" s="82"/>
      <c r="X67" s="81"/>
      <c r="Y67" s="87"/>
      <c r="AE67" s="68"/>
      <c r="AF67" s="69"/>
      <c r="AG67" s="61">
        <f>L8+L8/(L8+P8+N8+R8+T8)*0.05</f>
        <v>0.22125665251601245</v>
      </c>
      <c r="AH67" s="61"/>
      <c r="AI67" s="61">
        <f>N8+N8/(L8+P8+N8+R8+T8)*0.05</f>
        <v>0.17585374631953832</v>
      </c>
      <c r="AJ67" s="61"/>
      <c r="AK67" s="61">
        <f>P8+P8/(L8+P8+N8+R8+T8)*0.05</f>
        <v>0.27086925938514089</v>
      </c>
      <c r="AL67" s="61"/>
      <c r="AM67" s="61">
        <f>R8+R8/(L8+P8+N8+R8+T8)*0.05</f>
        <v>0.16312306797092657</v>
      </c>
      <c r="AN67" s="61"/>
      <c r="AO67" s="61">
        <f>T8+T8/(L8+P8+N8+R8+T8)*0.05</f>
        <v>5.324387415236273E-2</v>
      </c>
      <c r="AP67" s="61"/>
      <c r="AQ67" s="61">
        <f>V8-0.05</f>
        <v>0.11565339965601902</v>
      </c>
      <c r="AR67" s="61"/>
      <c r="AS67" s="61"/>
      <c r="AT67" s="60"/>
    </row>
    <row r="68" spans="10:47" x14ac:dyDescent="0.15">
      <c r="J68" s="72" t="s">
        <v>77</v>
      </c>
      <c r="K68" s="74" t="s">
        <v>78</v>
      </c>
      <c r="L68" s="46" t="s">
        <v>79</v>
      </c>
      <c r="M68" s="46" t="s">
        <v>80</v>
      </c>
      <c r="N68" s="46" t="s">
        <v>82</v>
      </c>
      <c r="O68" s="46" t="s">
        <v>83</v>
      </c>
      <c r="P68" s="46" t="s">
        <v>84</v>
      </c>
      <c r="Q68" s="46" t="s">
        <v>85</v>
      </c>
      <c r="R68" s="46" t="s">
        <v>86</v>
      </c>
      <c r="S68" s="46" t="s">
        <v>87</v>
      </c>
      <c r="T68" s="46" t="s">
        <v>88</v>
      </c>
      <c r="U68" s="46" t="s">
        <v>89</v>
      </c>
      <c r="V68" s="46" t="s">
        <v>90</v>
      </c>
      <c r="W68" s="46" t="s">
        <v>91</v>
      </c>
      <c r="X68" s="46" t="s">
        <v>142</v>
      </c>
      <c r="Y68" s="87"/>
      <c r="AE68" s="48" t="s">
        <v>77</v>
      </c>
      <c r="AF68" s="50" t="s">
        <v>78</v>
      </c>
      <c r="AG68" s="35" t="s">
        <v>79</v>
      </c>
      <c r="AH68" s="35" t="s">
        <v>80</v>
      </c>
      <c r="AI68" s="35" t="s">
        <v>82</v>
      </c>
      <c r="AJ68" s="35" t="s">
        <v>83</v>
      </c>
      <c r="AK68" s="35" t="s">
        <v>84</v>
      </c>
      <c r="AL68" s="35" t="s">
        <v>85</v>
      </c>
      <c r="AM68" s="35" t="s">
        <v>86</v>
      </c>
      <c r="AN68" s="35" t="s">
        <v>87</v>
      </c>
      <c r="AO68" s="35" t="s">
        <v>88</v>
      </c>
      <c r="AP68" s="35" t="s">
        <v>89</v>
      </c>
      <c r="AQ68" s="35" t="s">
        <v>90</v>
      </c>
      <c r="AR68" s="35" t="s">
        <v>91</v>
      </c>
      <c r="AS68" s="35" t="s">
        <v>142</v>
      </c>
      <c r="AT68" s="60"/>
    </row>
    <row r="69" spans="10:47" x14ac:dyDescent="0.15">
      <c r="J69" s="73"/>
      <c r="K69" s="75"/>
      <c r="L69" s="44">
        <v>0.6135117904356906</v>
      </c>
      <c r="M69" s="44">
        <v>0.3864882095643094</v>
      </c>
      <c r="N69" s="44">
        <v>0.5</v>
      </c>
      <c r="O69" s="44">
        <v>0.5</v>
      </c>
      <c r="P69" s="44">
        <v>0.55750666597555787</v>
      </c>
      <c r="Q69" s="44">
        <v>0.44249333402444213</v>
      </c>
      <c r="R69" s="44">
        <v>0.6135117904356906</v>
      </c>
      <c r="S69" s="44">
        <v>0.3864882095643094</v>
      </c>
      <c r="T69" s="44">
        <v>0.53373741817955345</v>
      </c>
      <c r="U69" s="44">
        <v>0.46626258182044661</v>
      </c>
      <c r="V69" s="44">
        <v>0.21577610016965845</v>
      </c>
      <c r="W69" s="44">
        <v>0.53256162579460831</v>
      </c>
      <c r="X69" s="44">
        <v>0.25166227403573327</v>
      </c>
      <c r="Y69" s="88"/>
      <c r="AE69" s="49"/>
      <c r="AF69" s="51"/>
      <c r="AG69" s="44">
        <v>0.6135117904356906</v>
      </c>
      <c r="AH69" s="44">
        <v>0.3864882095643094</v>
      </c>
      <c r="AI69" s="44">
        <v>0.5</v>
      </c>
      <c r="AJ69" s="44">
        <v>0.5</v>
      </c>
      <c r="AK69" s="44">
        <v>0.55750666597555787</v>
      </c>
      <c r="AL69" s="44">
        <v>0.44249333402444213</v>
      </c>
      <c r="AM69" s="44">
        <v>0.6135117904356906</v>
      </c>
      <c r="AN69" s="44">
        <v>0.3864882095643094</v>
      </c>
      <c r="AO69" s="44">
        <v>0.53373741817955345</v>
      </c>
      <c r="AP69" s="44">
        <v>0.46626258182044661</v>
      </c>
      <c r="AQ69" s="44">
        <v>0.21577610016965845</v>
      </c>
      <c r="AR69" s="44">
        <v>0.53256162579460831</v>
      </c>
      <c r="AS69" s="44">
        <v>0.25166227403573327</v>
      </c>
      <c r="AT69" s="60"/>
    </row>
    <row r="70" spans="10:47" x14ac:dyDescent="0.15">
      <c r="J70" s="70" t="s">
        <v>8</v>
      </c>
      <c r="K70" s="71"/>
      <c r="L70" s="45">
        <v>0.4433034482514257</v>
      </c>
      <c r="M70" s="45">
        <v>0.55051855027678676</v>
      </c>
      <c r="N70" s="45">
        <v>0.51288053587622218</v>
      </c>
      <c r="O70" s="45">
        <v>0.37050756055286743</v>
      </c>
      <c r="P70" s="45">
        <v>0.51430896088434852</v>
      </c>
      <c r="Q70" s="45">
        <v>0.1620876190266973</v>
      </c>
      <c r="R70" s="45">
        <v>0.34300712784998155</v>
      </c>
      <c r="S70" s="45">
        <v>0.29395129306453538</v>
      </c>
      <c r="T70" s="45">
        <v>0.37592585071224843</v>
      </c>
      <c r="U70" s="45">
        <v>0.40002126165400592</v>
      </c>
      <c r="V70" s="45">
        <v>0.53703123581901535</v>
      </c>
      <c r="W70" s="45">
        <v>0.56407897438442378</v>
      </c>
      <c r="X70" s="45">
        <v>0.26036599738682348</v>
      </c>
      <c r="Y70" s="45">
        <f>L$67*L$69*L70+L$67*M$69*M70+N$67*N$69*N70+N$67*O$69*O70+P$67*P$69*P70+P$67*Q$69*Q70+R$67*R$69*R70+R$67*S$69*S70+T$67*T$69*T70+T$67*U$69*U70+V$67*V$69*V70+V$67*W$69*W70+V$67*X$69*X70</f>
        <v>0.41901929173500901</v>
      </c>
      <c r="Z70" s="1" t="s">
        <v>111</v>
      </c>
      <c r="AE70" s="57" t="s">
        <v>8</v>
      </c>
      <c r="AF70" s="58"/>
      <c r="AG70" s="45">
        <v>0.4433034482514257</v>
      </c>
      <c r="AH70" s="45">
        <v>0.55051855027678676</v>
      </c>
      <c r="AI70" s="45">
        <v>0.51288053587622218</v>
      </c>
      <c r="AJ70" s="45">
        <v>0.37050756055286743</v>
      </c>
      <c r="AK70" s="45">
        <v>0.51430896088434852</v>
      </c>
      <c r="AL70" s="45">
        <v>0.1620876190266973</v>
      </c>
      <c r="AM70" s="45">
        <v>0.34300712784998155</v>
      </c>
      <c r="AN70" s="45">
        <v>0.29395129306453538</v>
      </c>
      <c r="AO70" s="45">
        <v>0.37592585071224843</v>
      </c>
      <c r="AP70" s="45">
        <v>0.40002126165400592</v>
      </c>
      <c r="AQ70" s="45">
        <v>0.53703123581901535</v>
      </c>
      <c r="AR70" s="45">
        <v>0.56407897438442378</v>
      </c>
      <c r="AS70" s="45">
        <v>0.26036599738682348</v>
      </c>
      <c r="AT70" s="37">
        <f>AG$67*AG$69*AG70+AG$67*AH$69*AH70+AI$67*AI$69*AI70+AI$67*AJ$69*AJ70+AK$67*AK$69*AK70+AK$67*AL$69*AL70+AM$67*AM$69*AM70+AM$67*AN$69*AN70+AO$67*AO$69*AO70+AO$67*AP$69*AP70+AQ$67*AQ$69*AQ70+AQ$67*AR$69*AR70+AQ$67*AS$69*AS70</f>
        <v>0.4112161778929514</v>
      </c>
      <c r="AU70" s="1">
        <v>1</v>
      </c>
    </row>
    <row r="71" spans="10:47" x14ac:dyDescent="0.15">
      <c r="J71" s="70" t="s">
        <v>9</v>
      </c>
      <c r="K71" s="71"/>
      <c r="L71" s="45">
        <v>0.41068314793118593</v>
      </c>
      <c r="M71" s="45">
        <v>0.2862962815717639</v>
      </c>
      <c r="N71" s="45">
        <v>0.33519815906638062</v>
      </c>
      <c r="O71" s="45">
        <v>0.4505721121704232</v>
      </c>
      <c r="P71" s="45">
        <v>0.3315668466458479</v>
      </c>
      <c r="Q71" s="45">
        <v>0.30065980077677995</v>
      </c>
      <c r="R71" s="45">
        <v>0.39999378758951742</v>
      </c>
      <c r="S71" s="45">
        <v>0.53414494791720257</v>
      </c>
      <c r="T71" s="45">
        <v>0.4030652869435441</v>
      </c>
      <c r="U71" s="45">
        <v>0.47612861157369207</v>
      </c>
      <c r="V71" s="45">
        <v>0.30998654389120311</v>
      </c>
      <c r="W71" s="45">
        <v>0.31680936491189832</v>
      </c>
      <c r="X71" s="45">
        <v>0.40492095089058489</v>
      </c>
      <c r="Y71" s="45">
        <f t="shared" ref="Y71:Y72" si="8">L$67*L$69*L71+L$67*M$69*M71+N$67*N$69*N71+N$67*O$69*O71+P$67*P$69*P71+P$67*Q$69*Q71+R$67*R$69*R71+R$67*S$69*S71+T$67*T$69*T71+T$67*U$69*U71+V$67*V$69*V71+V$67*W$69*W71+V$67*X$69*X71</f>
        <v>0.37299104236741454</v>
      </c>
      <c r="Z71" s="1" t="s">
        <v>112</v>
      </c>
      <c r="AE71" s="57" t="s">
        <v>9</v>
      </c>
      <c r="AF71" s="58"/>
      <c r="AG71" s="45">
        <v>0.41068314793118593</v>
      </c>
      <c r="AH71" s="45">
        <v>0.2862962815717639</v>
      </c>
      <c r="AI71" s="45">
        <v>0.33519815906638062</v>
      </c>
      <c r="AJ71" s="45">
        <v>0.4505721121704232</v>
      </c>
      <c r="AK71" s="45">
        <v>0.3315668466458479</v>
      </c>
      <c r="AL71" s="45">
        <v>0.30065980077677995</v>
      </c>
      <c r="AM71" s="45">
        <v>0.39999378758951742</v>
      </c>
      <c r="AN71" s="45">
        <v>0.53414494791720257</v>
      </c>
      <c r="AO71" s="45">
        <v>0.4030652869435441</v>
      </c>
      <c r="AP71" s="45">
        <v>0.47612861157369207</v>
      </c>
      <c r="AQ71" s="45">
        <v>0.30998654389120311</v>
      </c>
      <c r="AR71" s="45">
        <v>0.31680936491189832</v>
      </c>
      <c r="AS71" s="45">
        <v>0.40492095089058489</v>
      </c>
      <c r="AT71" s="37">
        <f t="shared" ref="AT71:AT72" si="9">AG$67*AG$69*AG71+AG$67*AH$69*AH71+AI$67*AI$69*AI71+AI$67*AJ$69*AJ71+AK$67*AK$69*AK71+AK$67*AL$69*AL71+AM$67*AM$69*AM71+AM$67*AN$69*AN71+AO$67*AO$69*AO71+AO$67*AP$69*AP71+AQ$67*AQ$69*AQ71+AQ$67*AR$69*AR71+AQ$67*AS$69*AS71</f>
        <v>0.37144155926265132</v>
      </c>
      <c r="AU71" s="1">
        <v>2</v>
      </c>
    </row>
    <row r="72" spans="10:47" x14ac:dyDescent="0.15">
      <c r="J72" s="70" t="s">
        <v>10</v>
      </c>
      <c r="K72" s="71"/>
      <c r="L72" s="45">
        <v>0.14601340381738845</v>
      </c>
      <c r="M72" s="45">
        <v>0.16318516815144932</v>
      </c>
      <c r="N72" s="45">
        <v>0.15192130505739715</v>
      </c>
      <c r="O72" s="45">
        <v>0.17892032727670948</v>
      </c>
      <c r="P72" s="45">
        <v>0.15412419246980361</v>
      </c>
      <c r="Q72" s="45">
        <v>0.53725258019652289</v>
      </c>
      <c r="R72" s="45">
        <v>0.25699908456050108</v>
      </c>
      <c r="S72" s="45">
        <v>0.17190375901826205</v>
      </c>
      <c r="T72" s="45">
        <v>0.22100886234420744</v>
      </c>
      <c r="U72" s="45">
        <v>0.12385012677230206</v>
      </c>
      <c r="V72" s="45">
        <v>0.15298222028978137</v>
      </c>
      <c r="W72" s="45">
        <v>0.11911166070367789</v>
      </c>
      <c r="X72" s="45">
        <v>0.33471305172259175</v>
      </c>
      <c r="Y72" s="45">
        <f t="shared" si="8"/>
        <v>0.20798966589757653</v>
      </c>
      <c r="Z72" s="1" t="s">
        <v>113</v>
      </c>
      <c r="AE72" s="57" t="s">
        <v>10</v>
      </c>
      <c r="AF72" s="58"/>
      <c r="AG72" s="45">
        <v>0.14601340381738845</v>
      </c>
      <c r="AH72" s="45">
        <v>0.16318516815144932</v>
      </c>
      <c r="AI72" s="45">
        <v>0.15192130505739715</v>
      </c>
      <c r="AJ72" s="45">
        <v>0.17892032727670948</v>
      </c>
      <c r="AK72" s="45">
        <v>0.15412419246980361</v>
      </c>
      <c r="AL72" s="45">
        <v>0.53725258019652289</v>
      </c>
      <c r="AM72" s="45">
        <v>0.25699908456050108</v>
      </c>
      <c r="AN72" s="45">
        <v>0.17190375901826205</v>
      </c>
      <c r="AO72" s="45">
        <v>0.22100886234420744</v>
      </c>
      <c r="AP72" s="45">
        <v>0.12385012677230206</v>
      </c>
      <c r="AQ72" s="45">
        <v>0.15298222028978137</v>
      </c>
      <c r="AR72" s="45">
        <v>0.11911166070367789</v>
      </c>
      <c r="AS72" s="45">
        <v>0.33471305172259175</v>
      </c>
      <c r="AT72" s="37">
        <f t="shared" si="9"/>
        <v>0.21734226284439737</v>
      </c>
      <c r="AU72" s="1">
        <v>3</v>
      </c>
    </row>
    <row r="73" spans="10:47" x14ac:dyDescent="0.15"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</row>
    <row r="74" spans="10:47" x14ac:dyDescent="0.15"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</row>
    <row r="75" spans="10:47" x14ac:dyDescent="0.15"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</row>
    <row r="76" spans="10:47" x14ac:dyDescent="0.15"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</row>
    <row r="77" spans="10:47" x14ac:dyDescent="0.15">
      <c r="J77" s="38" t="s">
        <v>160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AE77" s="38" t="s">
        <v>161</v>
      </c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</row>
    <row r="78" spans="10:47" x14ac:dyDescent="0.15">
      <c r="J78" s="76" t="s">
        <v>76</v>
      </c>
      <c r="K78" s="77"/>
      <c r="L78" s="83" t="s">
        <v>52</v>
      </c>
      <c r="M78" s="85"/>
      <c r="N78" s="83" t="s">
        <v>53</v>
      </c>
      <c r="O78" s="85"/>
      <c r="P78" s="83" t="s">
        <v>54</v>
      </c>
      <c r="Q78" s="85"/>
      <c r="R78" s="83" t="s">
        <v>55</v>
      </c>
      <c r="S78" s="85"/>
      <c r="T78" s="83" t="s">
        <v>56</v>
      </c>
      <c r="U78" s="85"/>
      <c r="V78" s="83" t="s">
        <v>57</v>
      </c>
      <c r="W78" s="84"/>
      <c r="X78" s="85"/>
      <c r="Y78" s="86" t="s">
        <v>2</v>
      </c>
      <c r="AE78" s="66" t="s">
        <v>76</v>
      </c>
      <c r="AF78" s="67"/>
      <c r="AG78" s="62" t="s">
        <v>52</v>
      </c>
      <c r="AH78" s="63"/>
      <c r="AI78" s="62" t="s">
        <v>53</v>
      </c>
      <c r="AJ78" s="63"/>
      <c r="AK78" s="62" t="s">
        <v>54</v>
      </c>
      <c r="AL78" s="63"/>
      <c r="AM78" s="62" t="s">
        <v>55</v>
      </c>
      <c r="AN78" s="63"/>
      <c r="AO78" s="62" t="s">
        <v>56</v>
      </c>
      <c r="AP78" s="63"/>
      <c r="AQ78" s="62" t="s">
        <v>57</v>
      </c>
      <c r="AR78" s="64"/>
      <c r="AS78" s="63"/>
      <c r="AT78" s="59" t="s">
        <v>2</v>
      </c>
    </row>
    <row r="79" spans="10:47" x14ac:dyDescent="0.15">
      <c r="J79" s="78"/>
      <c r="K79" s="79"/>
      <c r="L79" s="80">
        <f>L8-L8/(L8+N8+R8+T8+V8)*0.05</f>
        <v>0.1947267350404098</v>
      </c>
      <c r="M79" s="81"/>
      <c r="N79" s="80">
        <f>N8-N8/(L8+N8+R8+T8+V8)*0.05</f>
        <v>0.1547678927436994</v>
      </c>
      <c r="O79" s="81"/>
      <c r="P79" s="80">
        <f>P8+0.05</f>
        <v>0.30555460451567107</v>
      </c>
      <c r="Q79" s="81"/>
      <c r="R79" s="80">
        <f>R8-R8/(L8+N8+R8+T8+V8)*0.05</f>
        <v>0.14356369435470229</v>
      </c>
      <c r="S79" s="81"/>
      <c r="T79" s="80">
        <f>T8-T8/(L8+N8+R8+T8+V8)*0.05</f>
        <v>4.6859634079665577E-2</v>
      </c>
      <c r="U79" s="81"/>
      <c r="V79" s="80">
        <f>V8-V8/(L8+N8+R8+T8+V8)*0.05</f>
        <v>0.15452743926585188</v>
      </c>
      <c r="W79" s="82"/>
      <c r="X79" s="81"/>
      <c r="Y79" s="87"/>
      <c r="AE79" s="68"/>
      <c r="AF79" s="69"/>
      <c r="AG79" s="61">
        <f>L8-L8/(L8+P8+N8+R8+T8)*0.05</f>
        <v>0.19623742900908075</v>
      </c>
      <c r="AH79" s="61"/>
      <c r="AI79" s="61">
        <f>N8-N8/(L8+P8+N8+R8+T8)*0.05</f>
        <v>0.15596858520158557</v>
      </c>
      <c r="AJ79" s="61"/>
      <c r="AK79" s="61">
        <f>P8-P8/(L8+P8+N8+R8+T8)*0.05</f>
        <v>0.24023994964620124</v>
      </c>
      <c r="AL79" s="61"/>
      <c r="AM79" s="61">
        <f>R8-R8/(L8+P8+N8+R8+T8)*0.05</f>
        <v>0.14467746441373791</v>
      </c>
      <c r="AN79" s="61"/>
      <c r="AO79" s="61">
        <f>T8-T8/(L8+P8+N8+R8+T8)*0.05</f>
        <v>4.7223172073375522E-2</v>
      </c>
      <c r="AP79" s="61"/>
      <c r="AQ79" s="61">
        <f>V8+0.05</f>
        <v>0.21565339965601904</v>
      </c>
      <c r="AR79" s="61"/>
      <c r="AS79" s="61"/>
      <c r="AT79" s="60"/>
    </row>
    <row r="80" spans="10:47" x14ac:dyDescent="0.15">
      <c r="J80" s="72" t="s">
        <v>77</v>
      </c>
      <c r="K80" s="74" t="s">
        <v>78</v>
      </c>
      <c r="L80" s="46" t="s">
        <v>79</v>
      </c>
      <c r="M80" s="46" t="s">
        <v>80</v>
      </c>
      <c r="N80" s="46" t="s">
        <v>82</v>
      </c>
      <c r="O80" s="46" t="s">
        <v>83</v>
      </c>
      <c r="P80" s="46" t="s">
        <v>84</v>
      </c>
      <c r="Q80" s="46" t="s">
        <v>85</v>
      </c>
      <c r="R80" s="46" t="s">
        <v>86</v>
      </c>
      <c r="S80" s="46" t="s">
        <v>87</v>
      </c>
      <c r="T80" s="46" t="s">
        <v>88</v>
      </c>
      <c r="U80" s="46" t="s">
        <v>89</v>
      </c>
      <c r="V80" s="46" t="s">
        <v>90</v>
      </c>
      <c r="W80" s="46" t="s">
        <v>91</v>
      </c>
      <c r="X80" s="46" t="s">
        <v>142</v>
      </c>
      <c r="Y80" s="87"/>
      <c r="AE80" s="48" t="s">
        <v>77</v>
      </c>
      <c r="AF80" s="50" t="s">
        <v>78</v>
      </c>
      <c r="AG80" s="35" t="s">
        <v>79</v>
      </c>
      <c r="AH80" s="35" t="s">
        <v>80</v>
      </c>
      <c r="AI80" s="35" t="s">
        <v>82</v>
      </c>
      <c r="AJ80" s="35" t="s">
        <v>83</v>
      </c>
      <c r="AK80" s="35" t="s">
        <v>84</v>
      </c>
      <c r="AL80" s="35" t="s">
        <v>85</v>
      </c>
      <c r="AM80" s="35" t="s">
        <v>86</v>
      </c>
      <c r="AN80" s="35" t="s">
        <v>87</v>
      </c>
      <c r="AO80" s="35" t="s">
        <v>88</v>
      </c>
      <c r="AP80" s="35" t="s">
        <v>89</v>
      </c>
      <c r="AQ80" s="35" t="s">
        <v>90</v>
      </c>
      <c r="AR80" s="35" t="s">
        <v>91</v>
      </c>
      <c r="AS80" s="35" t="s">
        <v>142</v>
      </c>
      <c r="AT80" s="60"/>
    </row>
    <row r="81" spans="10:47" x14ac:dyDescent="0.15">
      <c r="J81" s="73"/>
      <c r="K81" s="75"/>
      <c r="L81" s="44">
        <v>0.6135117904356906</v>
      </c>
      <c r="M81" s="44">
        <v>0.3864882095643094</v>
      </c>
      <c r="N81" s="44">
        <v>0.5</v>
      </c>
      <c r="O81" s="44">
        <v>0.5</v>
      </c>
      <c r="P81" s="44">
        <v>0.55750666597555787</v>
      </c>
      <c r="Q81" s="44">
        <v>0.44249333402444213</v>
      </c>
      <c r="R81" s="44">
        <v>0.6135117904356906</v>
      </c>
      <c r="S81" s="44">
        <v>0.3864882095643094</v>
      </c>
      <c r="T81" s="44">
        <v>0.53373741817955345</v>
      </c>
      <c r="U81" s="44">
        <v>0.46626258182044661</v>
      </c>
      <c r="V81" s="44">
        <v>0.21577610016965845</v>
      </c>
      <c r="W81" s="44">
        <v>0.53256162579460831</v>
      </c>
      <c r="X81" s="44">
        <v>0.25166227403573327</v>
      </c>
      <c r="Y81" s="88"/>
      <c r="AE81" s="49"/>
      <c r="AF81" s="51"/>
      <c r="AG81" s="44">
        <v>0.6135117904356906</v>
      </c>
      <c r="AH81" s="44">
        <v>0.3864882095643094</v>
      </c>
      <c r="AI81" s="44">
        <v>0.5</v>
      </c>
      <c r="AJ81" s="44">
        <v>0.5</v>
      </c>
      <c r="AK81" s="44">
        <v>0.55750666597555787</v>
      </c>
      <c r="AL81" s="44">
        <v>0.44249333402444213</v>
      </c>
      <c r="AM81" s="44">
        <v>0.6135117904356906</v>
      </c>
      <c r="AN81" s="44">
        <v>0.3864882095643094</v>
      </c>
      <c r="AO81" s="44">
        <v>0.53373741817955345</v>
      </c>
      <c r="AP81" s="44">
        <v>0.46626258182044661</v>
      </c>
      <c r="AQ81" s="44">
        <v>0.21577610016965845</v>
      </c>
      <c r="AR81" s="44">
        <v>0.53256162579460831</v>
      </c>
      <c r="AS81" s="44">
        <v>0.25166227403573327</v>
      </c>
      <c r="AT81" s="60"/>
    </row>
    <row r="82" spans="10:47" x14ac:dyDescent="0.15">
      <c r="J82" s="70" t="s">
        <v>8</v>
      </c>
      <c r="K82" s="71"/>
      <c r="L82" s="45">
        <v>0.4433034482514257</v>
      </c>
      <c r="M82" s="45">
        <v>0.55051855027678676</v>
      </c>
      <c r="N82" s="45">
        <v>0.51288053587622218</v>
      </c>
      <c r="O82" s="45">
        <v>0.37050756055286743</v>
      </c>
      <c r="P82" s="45">
        <v>0.51430896088434852</v>
      </c>
      <c r="Q82" s="45">
        <v>0.1620876190266973</v>
      </c>
      <c r="R82" s="45">
        <v>0.34300712784998155</v>
      </c>
      <c r="S82" s="45">
        <v>0.29395129306453538</v>
      </c>
      <c r="T82" s="45">
        <v>0.37592585071224843</v>
      </c>
      <c r="U82" s="45">
        <v>0.40002126165400592</v>
      </c>
      <c r="V82" s="45">
        <v>0.53703123581901535</v>
      </c>
      <c r="W82" s="45">
        <v>0.56407897438442378</v>
      </c>
      <c r="X82" s="45">
        <v>0.26036599738682348</v>
      </c>
      <c r="Y82" s="45">
        <f>L$79*L$81*L82+L$79*M$81*M82+N$79*N$81*N82+N$79*O$81*O82+P$79*P$81*P82+P$79*Q$81*Q82+R$79*R$81*R82+R$79*S$81*S82+T$79*T$81*T82+T$79*U$81*U82+V$79*V$81*V82+V$79*W$81*W82+V$79*X$81*X82</f>
        <v>0.41139561777729272</v>
      </c>
      <c r="Z82" s="1" t="s">
        <v>111</v>
      </c>
      <c r="AE82" s="57" t="s">
        <v>8</v>
      </c>
      <c r="AF82" s="58"/>
      <c r="AG82" s="45">
        <v>0.4433034482514257</v>
      </c>
      <c r="AH82" s="45">
        <v>0.55051855027678676</v>
      </c>
      <c r="AI82" s="45">
        <v>0.51288053587622218</v>
      </c>
      <c r="AJ82" s="45">
        <v>0.37050756055286743</v>
      </c>
      <c r="AK82" s="45">
        <v>0.51430896088434852</v>
      </c>
      <c r="AL82" s="45">
        <v>0.1620876190266973</v>
      </c>
      <c r="AM82" s="45">
        <v>0.34300712784998155</v>
      </c>
      <c r="AN82" s="45">
        <v>0.29395129306453538</v>
      </c>
      <c r="AO82" s="45">
        <v>0.37592585071224843</v>
      </c>
      <c r="AP82" s="45">
        <v>0.40002126165400592</v>
      </c>
      <c r="AQ82" s="45">
        <v>0.53703123581901535</v>
      </c>
      <c r="AR82" s="45">
        <v>0.56407897438442378</v>
      </c>
      <c r="AS82" s="45">
        <v>0.26036599738682348</v>
      </c>
      <c r="AT82" s="37">
        <f>AG$79*AG$81*AG82+AG$79*AH$81*AH82+AI$79*AI$81*AI82+AI$79*AJ$81*AJ82+AK$79*AK$81*AK82+AK$79*AL$81*AL82+AM$79*AM$81*AM82+AM$79*AN$81*AN82+AO$79*AO$81*AO82+AO$79*AP$81*AP82+AQ$79*AQ$81*AQ82+AQ$79*AR$81*AR82+AQ$79*AS$81*AS82</f>
        <v>0.4191987316193504</v>
      </c>
      <c r="AU82" s="1">
        <v>1</v>
      </c>
    </row>
    <row r="83" spans="10:47" x14ac:dyDescent="0.15">
      <c r="J83" s="70" t="s">
        <v>9</v>
      </c>
      <c r="K83" s="71"/>
      <c r="L83" s="45">
        <v>0.41068314793118593</v>
      </c>
      <c r="M83" s="45">
        <v>0.2862962815717639</v>
      </c>
      <c r="N83" s="45">
        <v>0.33519815906638062</v>
      </c>
      <c r="O83" s="45">
        <v>0.4505721121704232</v>
      </c>
      <c r="P83" s="45">
        <v>0.3315668466458479</v>
      </c>
      <c r="Q83" s="45">
        <v>0.30065980077677995</v>
      </c>
      <c r="R83" s="45">
        <v>0.39999378758951742</v>
      </c>
      <c r="S83" s="45">
        <v>0.53414494791720257</v>
      </c>
      <c r="T83" s="45">
        <v>0.4030652869435441</v>
      </c>
      <c r="U83" s="45">
        <v>0.47612861157369207</v>
      </c>
      <c r="V83" s="45">
        <v>0.30998654389120311</v>
      </c>
      <c r="W83" s="45">
        <v>0.31680936491189832</v>
      </c>
      <c r="X83" s="45">
        <v>0.40492095089058489</v>
      </c>
      <c r="Y83" s="45">
        <f t="shared" ref="Y83:Y84" si="10">L$79*L$81*L83+L$79*M$81*M83+N$79*N$81*N83+N$79*O$81*O83+P$79*P$81*P83+P$79*Q$81*Q83+R$79*R$81*R83+R$79*S$81*S83+T$79*T$81*T83+T$79*U$81*U83+V$79*V$81*V83+V$79*W$81*W83+V$79*X$81*X83</f>
        <v>0.36605534133544809</v>
      </c>
      <c r="Z83" s="1" t="s">
        <v>112</v>
      </c>
      <c r="AE83" s="57" t="s">
        <v>9</v>
      </c>
      <c r="AF83" s="58"/>
      <c r="AG83" s="45">
        <v>0.41068314793118593</v>
      </c>
      <c r="AH83" s="45">
        <v>0.2862962815717639</v>
      </c>
      <c r="AI83" s="45">
        <v>0.33519815906638062</v>
      </c>
      <c r="AJ83" s="45">
        <v>0.4505721121704232</v>
      </c>
      <c r="AK83" s="45">
        <v>0.3315668466458479</v>
      </c>
      <c r="AL83" s="45">
        <v>0.30065980077677995</v>
      </c>
      <c r="AM83" s="45">
        <v>0.39999378758951742</v>
      </c>
      <c r="AN83" s="45">
        <v>0.53414494791720257</v>
      </c>
      <c r="AO83" s="45">
        <v>0.4030652869435441</v>
      </c>
      <c r="AP83" s="45">
        <v>0.47612861157369207</v>
      </c>
      <c r="AQ83" s="45">
        <v>0.30998654389120311</v>
      </c>
      <c r="AR83" s="45">
        <v>0.31680936491189832</v>
      </c>
      <c r="AS83" s="45">
        <v>0.40492095089058489</v>
      </c>
      <c r="AT83" s="37">
        <f t="shared" ref="AT83:AT84" si="11">AG$79*AG$81*AG83+AG$79*AH$81*AH83+AI$79*AI$81*AI83+AI$79*AJ$81*AJ83+AK$79*AK$81*AK83+AK$79*AL$81*AL83+AM$79*AM$81*AM83+AM$79*AN$81*AN83+AO$79*AO$81*AO83+AO$79*AP$81*AP83+AQ$79*AQ$81*AQ83+AQ$79*AR$81*AR83+AQ$79*AS$81*AS83</f>
        <v>0.3676048244402112</v>
      </c>
      <c r="AU83" s="1">
        <v>2</v>
      </c>
    </row>
    <row r="84" spans="10:47" x14ac:dyDescent="0.15">
      <c r="J84" s="70" t="s">
        <v>10</v>
      </c>
      <c r="K84" s="71"/>
      <c r="L84" s="45">
        <v>0.14601340381738845</v>
      </c>
      <c r="M84" s="45">
        <v>0.16318516815144932</v>
      </c>
      <c r="N84" s="45">
        <v>0.15192130505739715</v>
      </c>
      <c r="O84" s="45">
        <v>0.17892032727670948</v>
      </c>
      <c r="P84" s="45">
        <v>0.15412419246980361</v>
      </c>
      <c r="Q84" s="45">
        <v>0.53725258019652289</v>
      </c>
      <c r="R84" s="45">
        <v>0.25699908456050108</v>
      </c>
      <c r="S84" s="45">
        <v>0.17190375901826205</v>
      </c>
      <c r="T84" s="45">
        <v>0.22100886234420744</v>
      </c>
      <c r="U84" s="45">
        <v>0.12385012677230206</v>
      </c>
      <c r="V84" s="45">
        <v>0.15298222028978137</v>
      </c>
      <c r="W84" s="45">
        <v>0.11911166070367789</v>
      </c>
      <c r="X84" s="45">
        <v>0.33471305172259175</v>
      </c>
      <c r="Y84" s="45">
        <f t="shared" si="10"/>
        <v>0.22254904088725933</v>
      </c>
      <c r="Z84" s="1" t="s">
        <v>113</v>
      </c>
      <c r="AE84" s="57" t="s">
        <v>10</v>
      </c>
      <c r="AF84" s="58"/>
      <c r="AG84" s="45">
        <v>0.14601340381738845</v>
      </c>
      <c r="AH84" s="45">
        <v>0.16318516815144932</v>
      </c>
      <c r="AI84" s="45">
        <v>0.15192130505739715</v>
      </c>
      <c r="AJ84" s="45">
        <v>0.17892032727670948</v>
      </c>
      <c r="AK84" s="45">
        <v>0.15412419246980361</v>
      </c>
      <c r="AL84" s="45">
        <v>0.53725258019652289</v>
      </c>
      <c r="AM84" s="45">
        <v>0.25699908456050108</v>
      </c>
      <c r="AN84" s="45">
        <v>0.17190375901826205</v>
      </c>
      <c r="AO84" s="45">
        <v>0.22100886234420744</v>
      </c>
      <c r="AP84" s="45">
        <v>0.12385012677230206</v>
      </c>
      <c r="AQ84" s="45">
        <v>0.15298222028978137</v>
      </c>
      <c r="AR84" s="45">
        <v>0.11911166070367789</v>
      </c>
      <c r="AS84" s="45">
        <v>0.33471305172259175</v>
      </c>
      <c r="AT84" s="37">
        <f t="shared" si="11"/>
        <v>0.21319644394043846</v>
      </c>
      <c r="AU84" s="1">
        <v>3</v>
      </c>
    </row>
  </sheetData>
  <mergeCells count="247">
    <mergeCell ref="V19:X19"/>
    <mergeCell ref="J9:J10"/>
    <mergeCell ref="K9:K10"/>
    <mergeCell ref="J11:K11"/>
    <mergeCell ref="J12:K12"/>
    <mergeCell ref="J13:K13"/>
    <mergeCell ref="J19:K20"/>
    <mergeCell ref="V7:X7"/>
    <mergeCell ref="Y7:Y10"/>
    <mergeCell ref="L8:M8"/>
    <mergeCell ref="N8:O8"/>
    <mergeCell ref="P8:Q8"/>
    <mergeCell ref="R8:S8"/>
    <mergeCell ref="T8:U8"/>
    <mergeCell ref="V8:X8"/>
    <mergeCell ref="J7:K8"/>
    <mergeCell ref="L7:M7"/>
    <mergeCell ref="N7:O7"/>
    <mergeCell ref="P7:Q7"/>
    <mergeCell ref="R7:S7"/>
    <mergeCell ref="T7:U7"/>
    <mergeCell ref="AO19:AP19"/>
    <mergeCell ref="AQ19:AS19"/>
    <mergeCell ref="AT19:AT22"/>
    <mergeCell ref="L20:M20"/>
    <mergeCell ref="N20:O20"/>
    <mergeCell ref="P20:Q20"/>
    <mergeCell ref="R20:S20"/>
    <mergeCell ref="T20:U20"/>
    <mergeCell ref="V20:X20"/>
    <mergeCell ref="AG20:AH20"/>
    <mergeCell ref="Y19:Y22"/>
    <mergeCell ref="AE19:AF20"/>
    <mergeCell ref="AG19:AH19"/>
    <mergeCell ref="AI19:AJ19"/>
    <mergeCell ref="AK19:AL19"/>
    <mergeCell ref="AM19:AN19"/>
    <mergeCell ref="AI20:AJ20"/>
    <mergeCell ref="AK20:AL20"/>
    <mergeCell ref="AM20:AN20"/>
    <mergeCell ref="L19:M19"/>
    <mergeCell ref="N19:O19"/>
    <mergeCell ref="P19:Q19"/>
    <mergeCell ref="R19:S19"/>
    <mergeCell ref="T19:U19"/>
    <mergeCell ref="J23:K23"/>
    <mergeCell ref="AE23:AF23"/>
    <mergeCell ref="J24:K24"/>
    <mergeCell ref="AE24:AF24"/>
    <mergeCell ref="J25:K25"/>
    <mergeCell ref="AE25:AF25"/>
    <mergeCell ref="AO20:AP20"/>
    <mergeCell ref="AQ20:AS20"/>
    <mergeCell ref="J21:J22"/>
    <mergeCell ref="K21:K22"/>
    <mergeCell ref="AE21:AE22"/>
    <mergeCell ref="AF21:AF22"/>
    <mergeCell ref="V30:X30"/>
    <mergeCell ref="Y30:Y33"/>
    <mergeCell ref="L31:M31"/>
    <mergeCell ref="N31:O31"/>
    <mergeCell ref="P31:Q31"/>
    <mergeCell ref="R31:S31"/>
    <mergeCell ref="T31:U31"/>
    <mergeCell ref="V31:X31"/>
    <mergeCell ref="J30:K31"/>
    <mergeCell ref="L30:M30"/>
    <mergeCell ref="N30:O30"/>
    <mergeCell ref="P30:Q30"/>
    <mergeCell ref="R30:S30"/>
    <mergeCell ref="T30:U30"/>
    <mergeCell ref="AE33:AE34"/>
    <mergeCell ref="AF33:AF34"/>
    <mergeCell ref="J34:K34"/>
    <mergeCell ref="J35:K35"/>
    <mergeCell ref="AE35:AF35"/>
    <mergeCell ref="J36:K36"/>
    <mergeCell ref="AE36:AF36"/>
    <mergeCell ref="AQ31:AS31"/>
    <mergeCell ref="AT31:AT34"/>
    <mergeCell ref="J32:J33"/>
    <mergeCell ref="K32:K33"/>
    <mergeCell ref="AG32:AH32"/>
    <mergeCell ref="AI32:AJ32"/>
    <mergeCell ref="AK32:AL32"/>
    <mergeCell ref="AM32:AN32"/>
    <mergeCell ref="AO32:AP32"/>
    <mergeCell ref="AQ32:AS32"/>
    <mergeCell ref="AE31:AF32"/>
    <mergeCell ref="AG31:AH31"/>
    <mergeCell ref="AI31:AJ31"/>
    <mergeCell ref="AK31:AL31"/>
    <mergeCell ref="AM31:AN31"/>
    <mergeCell ref="AO31:AP31"/>
    <mergeCell ref="AE37:AF37"/>
    <mergeCell ref="J42:K43"/>
    <mergeCell ref="L42:M42"/>
    <mergeCell ref="N42:O42"/>
    <mergeCell ref="P42:Q42"/>
    <mergeCell ref="R42:S42"/>
    <mergeCell ref="T42:U42"/>
    <mergeCell ref="V42:X42"/>
    <mergeCell ref="Y42:Y45"/>
    <mergeCell ref="AE42:AF43"/>
    <mergeCell ref="AT42:AT45"/>
    <mergeCell ref="L43:M43"/>
    <mergeCell ref="N43:O43"/>
    <mergeCell ref="P43:Q43"/>
    <mergeCell ref="R43:S43"/>
    <mergeCell ref="T43:U43"/>
    <mergeCell ref="V43:X43"/>
    <mergeCell ref="AG43:AH43"/>
    <mergeCell ref="AI43:AJ43"/>
    <mergeCell ref="AK43:AL43"/>
    <mergeCell ref="AG42:AH42"/>
    <mergeCell ref="AI42:AJ42"/>
    <mergeCell ref="AK42:AL42"/>
    <mergeCell ref="AM42:AN42"/>
    <mergeCell ref="AO42:AP42"/>
    <mergeCell ref="AQ42:AS42"/>
    <mergeCell ref="J46:K46"/>
    <mergeCell ref="AE46:AF46"/>
    <mergeCell ref="J47:K47"/>
    <mergeCell ref="AE47:AF47"/>
    <mergeCell ref="J48:K48"/>
    <mergeCell ref="AE48:AF48"/>
    <mergeCell ref="AM43:AN43"/>
    <mergeCell ref="AO43:AP43"/>
    <mergeCell ref="AQ43:AS43"/>
    <mergeCell ref="J44:J45"/>
    <mergeCell ref="K44:K45"/>
    <mergeCell ref="AE44:AE45"/>
    <mergeCell ref="AF44:AF45"/>
    <mergeCell ref="AT54:AT57"/>
    <mergeCell ref="L55:M55"/>
    <mergeCell ref="N55:O55"/>
    <mergeCell ref="P55:Q55"/>
    <mergeCell ref="R55:S55"/>
    <mergeCell ref="T55:U55"/>
    <mergeCell ref="V55:X55"/>
    <mergeCell ref="V54:X54"/>
    <mergeCell ref="Y54:Y57"/>
    <mergeCell ref="AE54:AF55"/>
    <mergeCell ref="AG54:AH54"/>
    <mergeCell ref="AI54:AJ54"/>
    <mergeCell ref="AK54:AL54"/>
    <mergeCell ref="AG55:AH55"/>
    <mergeCell ref="AI55:AJ55"/>
    <mergeCell ref="AK55:AL55"/>
    <mergeCell ref="L54:M54"/>
    <mergeCell ref="N54:O54"/>
    <mergeCell ref="P54:Q54"/>
    <mergeCell ref="R54:S54"/>
    <mergeCell ref="T54:U54"/>
    <mergeCell ref="J58:K58"/>
    <mergeCell ref="AE58:AF58"/>
    <mergeCell ref="J59:K59"/>
    <mergeCell ref="AE59:AF59"/>
    <mergeCell ref="J60:K60"/>
    <mergeCell ref="AE60:AF60"/>
    <mergeCell ref="AM55:AN55"/>
    <mergeCell ref="AO55:AP55"/>
    <mergeCell ref="AQ55:AS55"/>
    <mergeCell ref="J56:J57"/>
    <mergeCell ref="K56:K57"/>
    <mergeCell ref="AE56:AE57"/>
    <mergeCell ref="AF56:AF57"/>
    <mergeCell ref="J54:K55"/>
    <mergeCell ref="AM54:AN54"/>
    <mergeCell ref="AO54:AP54"/>
    <mergeCell ref="AQ54:AS54"/>
    <mergeCell ref="AT66:AT69"/>
    <mergeCell ref="L67:M67"/>
    <mergeCell ref="N67:O67"/>
    <mergeCell ref="P67:Q67"/>
    <mergeCell ref="R67:S67"/>
    <mergeCell ref="T67:U67"/>
    <mergeCell ref="V67:X67"/>
    <mergeCell ref="V66:X66"/>
    <mergeCell ref="Y66:Y69"/>
    <mergeCell ref="AE66:AF67"/>
    <mergeCell ref="AG66:AH66"/>
    <mergeCell ref="AI66:AJ66"/>
    <mergeCell ref="AK66:AL66"/>
    <mergeCell ref="AG67:AH67"/>
    <mergeCell ref="AI67:AJ67"/>
    <mergeCell ref="AK67:AL67"/>
    <mergeCell ref="L66:M66"/>
    <mergeCell ref="N66:O66"/>
    <mergeCell ref="P66:Q66"/>
    <mergeCell ref="R66:S66"/>
    <mergeCell ref="T66:U66"/>
    <mergeCell ref="J70:K70"/>
    <mergeCell ref="AE70:AF70"/>
    <mergeCell ref="J71:K71"/>
    <mergeCell ref="AE71:AF71"/>
    <mergeCell ref="J72:K72"/>
    <mergeCell ref="AE72:AF72"/>
    <mergeCell ref="AM67:AN67"/>
    <mergeCell ref="AO67:AP67"/>
    <mergeCell ref="AQ67:AS67"/>
    <mergeCell ref="J68:J69"/>
    <mergeCell ref="K68:K69"/>
    <mergeCell ref="AE68:AE69"/>
    <mergeCell ref="AF68:AF69"/>
    <mergeCell ref="J66:K67"/>
    <mergeCell ref="AM66:AN66"/>
    <mergeCell ref="AO66:AP66"/>
    <mergeCell ref="AQ66:AS66"/>
    <mergeCell ref="AT78:AT81"/>
    <mergeCell ref="L79:M79"/>
    <mergeCell ref="N79:O79"/>
    <mergeCell ref="P79:Q79"/>
    <mergeCell ref="R79:S79"/>
    <mergeCell ref="T79:U79"/>
    <mergeCell ref="V79:X79"/>
    <mergeCell ref="V78:X78"/>
    <mergeCell ref="Y78:Y81"/>
    <mergeCell ref="AE78:AF79"/>
    <mergeCell ref="AG78:AH78"/>
    <mergeCell ref="AI78:AJ78"/>
    <mergeCell ref="AK78:AL78"/>
    <mergeCell ref="AG79:AH79"/>
    <mergeCell ref="AI79:AJ79"/>
    <mergeCell ref="AK79:AL79"/>
    <mergeCell ref="L78:M78"/>
    <mergeCell ref="N78:O78"/>
    <mergeCell ref="P78:Q78"/>
    <mergeCell ref="R78:S78"/>
    <mergeCell ref="T78:U78"/>
    <mergeCell ref="J82:K82"/>
    <mergeCell ref="AE82:AF82"/>
    <mergeCell ref="J83:K83"/>
    <mergeCell ref="AE83:AF83"/>
    <mergeCell ref="J84:K84"/>
    <mergeCell ref="AE84:AF84"/>
    <mergeCell ref="AM79:AN79"/>
    <mergeCell ref="AO79:AP79"/>
    <mergeCell ref="AQ79:AS79"/>
    <mergeCell ref="J80:J81"/>
    <mergeCell ref="K80:K81"/>
    <mergeCell ref="AE80:AE81"/>
    <mergeCell ref="AF80:AF81"/>
    <mergeCell ref="J78:K79"/>
    <mergeCell ref="AM78:AN78"/>
    <mergeCell ref="AO78:AP78"/>
    <mergeCell ref="AQ78:AS78"/>
  </mergeCells>
  <pageMargins left="0.7" right="0.7" top="0.75" bottom="0.75" header="0.3" footer="0.3"/>
  <pageSetup paperSize="9" orientation="portrait" verticalDpi="597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B458-292F-FE4D-BD5F-183856DD0D6E}">
  <dimension ref="B2:AF43"/>
  <sheetViews>
    <sheetView topLeftCell="S4" zoomScale="137" zoomScaleNormal="85" workbookViewId="0">
      <selection activeCell="AE43" sqref="AE43"/>
    </sheetView>
  </sheetViews>
  <sheetFormatPr baseColWidth="10" defaultColWidth="8.83203125" defaultRowHeight="15" x14ac:dyDescent="0.2"/>
  <sheetData>
    <row r="2" spans="2:32" x14ac:dyDescent="0.2">
      <c r="B2" s="8"/>
      <c r="C2" s="22" t="str">
        <f>B3</f>
        <v>financije</v>
      </c>
      <c r="D2" s="22" t="str">
        <f>B4</f>
        <v>kvaliteta</v>
      </c>
      <c r="E2" s="22" t="str">
        <f>B5</f>
        <v>brzina</v>
      </c>
      <c r="F2" s="22" t="str">
        <f>B6</f>
        <v>ljudi</v>
      </c>
      <c r="G2" s="22" t="str">
        <f>B7</f>
        <v>korisnik</v>
      </c>
      <c r="H2" s="22" t="str">
        <f>B8</f>
        <v>učinkovitost</v>
      </c>
      <c r="J2" s="8"/>
      <c r="K2" s="22" t="str">
        <f>J3</f>
        <v>financije</v>
      </c>
      <c r="L2" s="22" t="str">
        <f>J4</f>
        <v>kvaliteta</v>
      </c>
      <c r="M2" s="22" t="str">
        <f>J5</f>
        <v>brzina</v>
      </c>
      <c r="N2" s="22" t="str">
        <f>J6</f>
        <v>ljudi</v>
      </c>
      <c r="O2" s="22" t="str">
        <f>J7</f>
        <v>korisnik</v>
      </c>
      <c r="P2" s="22" t="str">
        <f>J8</f>
        <v>učinkovitost</v>
      </c>
      <c r="R2" s="8"/>
      <c r="S2" s="22" t="str">
        <f>R3</f>
        <v>financije</v>
      </c>
      <c r="T2" s="22" t="str">
        <f>R4</f>
        <v>kvaliteta</v>
      </c>
      <c r="U2" s="22" t="str">
        <f>R5</f>
        <v>brzina</v>
      </c>
      <c r="V2" s="22" t="str">
        <f>R6</f>
        <v>ljudi</v>
      </c>
      <c r="W2" s="22" t="str">
        <f>R7</f>
        <v>korisnik</v>
      </c>
      <c r="X2" s="22" t="str">
        <f>R8</f>
        <v>učikovitost</v>
      </c>
      <c r="Z2" s="8"/>
      <c r="AA2" s="22" t="str">
        <f>Z3</f>
        <v>financije</v>
      </c>
      <c r="AB2" s="22" t="str">
        <f>Z4</f>
        <v>kvaliteta</v>
      </c>
      <c r="AC2" s="22" t="str">
        <f>Z5</f>
        <v>brzina</v>
      </c>
      <c r="AD2" s="22" t="str">
        <f>Z6</f>
        <v>ljudi</v>
      </c>
      <c r="AE2" s="22" t="str">
        <f>Z7</f>
        <v>korisnik</v>
      </c>
      <c r="AF2" s="22" t="str">
        <f>Z8</f>
        <v>učinkovitost</v>
      </c>
    </row>
    <row r="3" spans="2:32" x14ac:dyDescent="0.2">
      <c r="B3" s="9" t="s">
        <v>163</v>
      </c>
      <c r="C3" s="8">
        <v>1</v>
      </c>
      <c r="D3" s="8">
        <v>3</v>
      </c>
      <c r="E3" s="8">
        <v>2</v>
      </c>
      <c r="F3" s="8">
        <v>2</v>
      </c>
      <c r="G3" s="8">
        <v>5</v>
      </c>
      <c r="H3" s="8">
        <v>3</v>
      </c>
      <c r="J3" s="9" t="s">
        <v>163</v>
      </c>
      <c r="K3" s="8">
        <v>1</v>
      </c>
      <c r="L3" s="8">
        <v>1</v>
      </c>
      <c r="M3" s="8">
        <f>1/3</f>
        <v>0.33333333333333331</v>
      </c>
      <c r="N3" s="8">
        <v>2</v>
      </c>
      <c r="O3" s="8">
        <v>4</v>
      </c>
      <c r="P3" s="8">
        <f>1/2</f>
        <v>0.5</v>
      </c>
      <c r="R3" s="9" t="s">
        <v>163</v>
      </c>
      <c r="S3" s="8">
        <v>1</v>
      </c>
      <c r="T3" s="8">
        <f>1/2</f>
        <v>0.5</v>
      </c>
      <c r="U3" s="8">
        <v>1</v>
      </c>
      <c r="V3" s="8">
        <v>2</v>
      </c>
      <c r="W3" s="8">
        <v>3</v>
      </c>
      <c r="X3" s="8">
        <f>1/3</f>
        <v>0.33333333333333331</v>
      </c>
      <c r="Z3" s="9" t="s">
        <v>163</v>
      </c>
      <c r="AA3" s="8">
        <f>GEOMEAN(C3,K3,S3)</f>
        <v>1</v>
      </c>
      <c r="AB3" s="8">
        <f t="shared" ref="AB3:AF8" si="0">GEOMEAN(D3,L3,T3)</f>
        <v>1.1447142425533319</v>
      </c>
      <c r="AC3" s="8">
        <f t="shared" si="0"/>
        <v>0.87358046473629891</v>
      </c>
      <c r="AD3" s="8">
        <f t="shared" si="0"/>
        <v>2</v>
      </c>
      <c r="AE3" s="8">
        <f t="shared" si="0"/>
        <v>3.9148676411688634</v>
      </c>
      <c r="AF3" s="8">
        <f t="shared" si="0"/>
        <v>0.79370052598409979</v>
      </c>
    </row>
    <row r="4" spans="2:32" x14ac:dyDescent="0.2">
      <c r="B4" s="9" t="s">
        <v>164</v>
      </c>
      <c r="C4" s="8">
        <f>1/3</f>
        <v>0.33333333333333331</v>
      </c>
      <c r="D4" s="8">
        <v>1</v>
      </c>
      <c r="E4" s="8">
        <f>1/2</f>
        <v>0.5</v>
      </c>
      <c r="F4" s="8">
        <f>1/2</f>
        <v>0.5</v>
      </c>
      <c r="G4" s="8">
        <v>3</v>
      </c>
      <c r="H4" s="8">
        <v>1</v>
      </c>
      <c r="J4" s="9" t="s">
        <v>164</v>
      </c>
      <c r="K4" s="8">
        <v>1</v>
      </c>
      <c r="L4" s="8">
        <v>1</v>
      </c>
      <c r="M4" s="8">
        <f>1/5</f>
        <v>0.2</v>
      </c>
      <c r="N4" s="8">
        <v>1</v>
      </c>
      <c r="O4" s="8">
        <v>3</v>
      </c>
      <c r="P4" s="8">
        <f>1/3</f>
        <v>0.33333333333333331</v>
      </c>
      <c r="R4" s="9" t="s">
        <v>164</v>
      </c>
      <c r="S4" s="8">
        <v>2</v>
      </c>
      <c r="T4" s="8">
        <v>1</v>
      </c>
      <c r="U4" s="8">
        <v>2</v>
      </c>
      <c r="V4" s="8">
        <v>3</v>
      </c>
      <c r="W4" s="8">
        <v>5</v>
      </c>
      <c r="X4" s="8">
        <v>2</v>
      </c>
      <c r="Z4" s="9" t="s">
        <v>164</v>
      </c>
      <c r="AA4" s="8">
        <f t="shared" ref="AA4:AA8" si="1">GEOMEAN(C4,K4,S4)</f>
        <v>0.87358046473629891</v>
      </c>
      <c r="AB4" s="8">
        <f t="shared" si="0"/>
        <v>1</v>
      </c>
      <c r="AC4" s="8">
        <f t="shared" si="0"/>
        <v>0.58480354764257325</v>
      </c>
      <c r="AD4" s="8">
        <f t="shared" si="0"/>
        <v>1.1447142425533319</v>
      </c>
      <c r="AE4" s="8">
        <f t="shared" si="0"/>
        <v>3.556893304490063</v>
      </c>
      <c r="AF4" s="8">
        <f t="shared" si="0"/>
        <v>0.87358046473629891</v>
      </c>
    </row>
    <row r="5" spans="2:32" x14ac:dyDescent="0.2">
      <c r="B5" s="9" t="s">
        <v>165</v>
      </c>
      <c r="C5" s="8">
        <f>1/2</f>
        <v>0.5</v>
      </c>
      <c r="D5" s="8">
        <v>2</v>
      </c>
      <c r="E5" s="8">
        <v>1</v>
      </c>
      <c r="F5" s="8">
        <v>1</v>
      </c>
      <c r="G5" s="8">
        <v>4</v>
      </c>
      <c r="H5" s="8">
        <v>2</v>
      </c>
      <c r="J5" s="9" t="s">
        <v>165</v>
      </c>
      <c r="K5" s="8">
        <v>3</v>
      </c>
      <c r="L5" s="8">
        <v>2</v>
      </c>
      <c r="M5" s="8">
        <v>1</v>
      </c>
      <c r="N5" s="8">
        <v>3</v>
      </c>
      <c r="O5" s="8">
        <v>6</v>
      </c>
      <c r="P5" s="8">
        <v>2</v>
      </c>
      <c r="R5" s="9" t="s">
        <v>165</v>
      </c>
      <c r="S5" s="8">
        <v>1</v>
      </c>
      <c r="T5" s="8">
        <f>1/2</f>
        <v>0.5</v>
      </c>
      <c r="U5" s="8">
        <v>1</v>
      </c>
      <c r="V5" s="8">
        <v>2</v>
      </c>
      <c r="W5" s="8">
        <v>4</v>
      </c>
      <c r="X5" s="8">
        <v>2</v>
      </c>
      <c r="Z5" s="9" t="s">
        <v>165</v>
      </c>
      <c r="AA5" s="8">
        <f t="shared" si="1"/>
        <v>1.1447142425533319</v>
      </c>
      <c r="AB5" s="8">
        <f t="shared" si="0"/>
        <v>1.2599210498948732</v>
      </c>
      <c r="AC5" s="8">
        <f t="shared" si="0"/>
        <v>1</v>
      </c>
      <c r="AD5" s="8">
        <f t="shared" si="0"/>
        <v>1.8171205928321397</v>
      </c>
      <c r="AE5" s="8">
        <f t="shared" si="0"/>
        <v>4.5788569702133275</v>
      </c>
      <c r="AF5" s="8">
        <f t="shared" si="0"/>
        <v>2</v>
      </c>
    </row>
    <row r="6" spans="2:32" x14ac:dyDescent="0.2">
      <c r="B6" s="9" t="s">
        <v>100</v>
      </c>
      <c r="C6" s="8">
        <f>1/2</f>
        <v>0.5</v>
      </c>
      <c r="D6" s="8">
        <v>2</v>
      </c>
      <c r="E6" s="8">
        <v>1</v>
      </c>
      <c r="F6" s="8">
        <v>1</v>
      </c>
      <c r="G6" s="8">
        <v>4</v>
      </c>
      <c r="H6" s="8">
        <v>2</v>
      </c>
      <c r="J6" s="9" t="s">
        <v>100</v>
      </c>
      <c r="K6" s="8">
        <f>1/2</f>
        <v>0.5</v>
      </c>
      <c r="L6" s="8">
        <v>1</v>
      </c>
      <c r="M6" s="8">
        <f>1/3</f>
        <v>0.33333333333333331</v>
      </c>
      <c r="N6" s="8">
        <v>1</v>
      </c>
      <c r="O6" s="8">
        <v>3</v>
      </c>
      <c r="P6" s="8">
        <f>1/2</f>
        <v>0.5</v>
      </c>
      <c r="R6" s="9" t="s">
        <v>100</v>
      </c>
      <c r="S6" s="8">
        <f>1/2</f>
        <v>0.5</v>
      </c>
      <c r="T6" s="8">
        <f>1/3</f>
        <v>0.33333333333333331</v>
      </c>
      <c r="U6" s="8">
        <f>1/2</f>
        <v>0.5</v>
      </c>
      <c r="V6" s="8">
        <v>1</v>
      </c>
      <c r="W6" s="8">
        <v>2</v>
      </c>
      <c r="X6" s="8">
        <v>3</v>
      </c>
      <c r="Z6" s="9" t="s">
        <v>100</v>
      </c>
      <c r="AA6" s="8">
        <f t="shared" si="1"/>
        <v>0.5</v>
      </c>
      <c r="AB6" s="8">
        <f t="shared" si="0"/>
        <v>0.87358046473629891</v>
      </c>
      <c r="AC6" s="8">
        <f t="shared" si="0"/>
        <v>0.55032120814910446</v>
      </c>
      <c r="AD6" s="8">
        <f t="shared" si="0"/>
        <v>1</v>
      </c>
      <c r="AE6" s="8">
        <f t="shared" si="0"/>
        <v>2.8844991406148166</v>
      </c>
      <c r="AF6" s="8">
        <f t="shared" si="0"/>
        <v>1.4422495703074083</v>
      </c>
    </row>
    <row r="7" spans="2:32" x14ac:dyDescent="0.2">
      <c r="B7" s="9" t="s">
        <v>166</v>
      </c>
      <c r="C7" s="8">
        <f>1/5</f>
        <v>0.2</v>
      </c>
      <c r="D7" s="8">
        <f>1/3</f>
        <v>0.33333333333333331</v>
      </c>
      <c r="E7" s="8">
        <f>1/4</f>
        <v>0.25</v>
      </c>
      <c r="F7" s="8">
        <f>1/4</f>
        <v>0.25</v>
      </c>
      <c r="G7" s="8">
        <v>1</v>
      </c>
      <c r="H7" s="8">
        <f>1/3</f>
        <v>0.33333333333333331</v>
      </c>
      <c r="J7" s="9" t="s">
        <v>166</v>
      </c>
      <c r="K7" s="8">
        <f>1/4</f>
        <v>0.25</v>
      </c>
      <c r="L7" s="8">
        <f>1/3</f>
        <v>0.33333333333333331</v>
      </c>
      <c r="M7" s="8">
        <f>1/6</f>
        <v>0.16666666666666666</v>
      </c>
      <c r="N7" s="8">
        <f>1/3</f>
        <v>0.33333333333333331</v>
      </c>
      <c r="O7" s="8">
        <v>1</v>
      </c>
      <c r="P7" s="8">
        <f>1/5</f>
        <v>0.2</v>
      </c>
      <c r="R7" s="9" t="s">
        <v>166</v>
      </c>
      <c r="S7" s="8">
        <f>1/3</f>
        <v>0.33333333333333331</v>
      </c>
      <c r="T7" s="8">
        <f>1/5</f>
        <v>0.2</v>
      </c>
      <c r="U7" s="8">
        <f>1/4</f>
        <v>0.25</v>
      </c>
      <c r="V7" s="8">
        <f>1/2</f>
        <v>0.5</v>
      </c>
      <c r="W7" s="8">
        <v>1</v>
      </c>
      <c r="X7" s="8">
        <f>1/4</f>
        <v>0.25</v>
      </c>
      <c r="Z7" s="9" t="s">
        <v>166</v>
      </c>
      <c r="AA7" s="8">
        <f t="shared" si="1"/>
        <v>0.2554364774645177</v>
      </c>
      <c r="AB7" s="8">
        <f t="shared" si="0"/>
        <v>0.28114422176724974</v>
      </c>
      <c r="AC7" s="8">
        <f t="shared" si="0"/>
        <v>0.21839511618407473</v>
      </c>
      <c r="AD7" s="8">
        <f t="shared" si="0"/>
        <v>0.34668063717531733</v>
      </c>
      <c r="AE7" s="8">
        <f t="shared" si="0"/>
        <v>1</v>
      </c>
      <c r="AF7" s="8">
        <f t="shared" si="0"/>
        <v>0.2554364774645177</v>
      </c>
    </row>
    <row r="8" spans="2:32" x14ac:dyDescent="0.2">
      <c r="B8" s="9" t="s">
        <v>167</v>
      </c>
      <c r="C8" s="8">
        <f>1/3</f>
        <v>0.33333333333333331</v>
      </c>
      <c r="D8" s="8">
        <v>1</v>
      </c>
      <c r="E8" s="8">
        <f>1/2</f>
        <v>0.5</v>
      </c>
      <c r="F8" s="8">
        <f>1/2</f>
        <v>0.5</v>
      </c>
      <c r="G8" s="8">
        <v>3</v>
      </c>
      <c r="H8" s="8">
        <v>1</v>
      </c>
      <c r="J8" s="9" t="s">
        <v>167</v>
      </c>
      <c r="K8" s="8">
        <v>2</v>
      </c>
      <c r="L8" s="8">
        <v>3</v>
      </c>
      <c r="M8" s="8">
        <f>1/2</f>
        <v>0.5</v>
      </c>
      <c r="N8" s="8">
        <v>2</v>
      </c>
      <c r="O8" s="8">
        <v>5</v>
      </c>
      <c r="P8" s="8">
        <v>1</v>
      </c>
      <c r="R8" s="9" t="s">
        <v>168</v>
      </c>
      <c r="S8" s="8">
        <v>3</v>
      </c>
      <c r="T8" s="8">
        <f>1/5</f>
        <v>0.2</v>
      </c>
      <c r="U8" s="8">
        <f>1/2</f>
        <v>0.5</v>
      </c>
      <c r="V8" s="8">
        <f>1/3</f>
        <v>0.33333333333333331</v>
      </c>
      <c r="W8" s="8">
        <v>4</v>
      </c>
      <c r="X8" s="8">
        <v>1</v>
      </c>
      <c r="Z8" s="9" t="s">
        <v>167</v>
      </c>
      <c r="AA8" s="8">
        <f t="shared" si="1"/>
        <v>1.2599210498948732</v>
      </c>
      <c r="AB8" s="8">
        <f t="shared" si="0"/>
        <v>0.84343266530174932</v>
      </c>
      <c r="AC8" s="8">
        <f t="shared" si="0"/>
        <v>0.5</v>
      </c>
      <c r="AD8" s="8">
        <f t="shared" si="0"/>
        <v>0.69336127435063466</v>
      </c>
      <c r="AE8" s="8">
        <f t="shared" si="0"/>
        <v>3.9148676411688634</v>
      </c>
      <c r="AF8" s="8">
        <f t="shared" si="0"/>
        <v>1</v>
      </c>
    </row>
    <row r="10" spans="2:32" hidden="1" x14ac:dyDescent="0.2">
      <c r="C10" s="8">
        <f>SUM(C3:C8)</f>
        <v>2.8666666666666667</v>
      </c>
      <c r="D10" s="8">
        <f t="shared" ref="D10:H10" si="2">SUM(D3:D8)</f>
        <v>9.3333333333333339</v>
      </c>
      <c r="E10" s="8">
        <f t="shared" si="2"/>
        <v>5.25</v>
      </c>
      <c r="F10" s="8">
        <f t="shared" si="2"/>
        <v>5.25</v>
      </c>
      <c r="G10" s="8">
        <f t="shared" si="2"/>
        <v>20</v>
      </c>
      <c r="H10" s="8">
        <f t="shared" si="2"/>
        <v>9.3333333333333339</v>
      </c>
      <c r="K10" s="8">
        <f>SUM(K3:K8)</f>
        <v>7.75</v>
      </c>
      <c r="L10" s="8">
        <f t="shared" ref="L10:P10" si="3">SUM(L3:L8)</f>
        <v>8.3333333333333321</v>
      </c>
      <c r="M10" s="8">
        <f t="shared" si="3"/>
        <v>2.5333333333333332</v>
      </c>
      <c r="N10" s="8">
        <f t="shared" si="3"/>
        <v>9.3333333333333321</v>
      </c>
      <c r="O10" s="8">
        <f t="shared" si="3"/>
        <v>22</v>
      </c>
      <c r="P10" s="8">
        <f t="shared" si="3"/>
        <v>4.5333333333333332</v>
      </c>
      <c r="S10" s="8">
        <f>SUM(S3:S8)</f>
        <v>7.833333333333333</v>
      </c>
      <c r="T10" s="8">
        <f t="shared" ref="T10:X10" si="4">SUM(T3:T8)</f>
        <v>2.7333333333333338</v>
      </c>
      <c r="U10" s="8">
        <f t="shared" si="4"/>
        <v>5.25</v>
      </c>
      <c r="V10" s="8">
        <f t="shared" si="4"/>
        <v>8.8333333333333339</v>
      </c>
      <c r="W10" s="8">
        <f t="shared" si="4"/>
        <v>19</v>
      </c>
      <c r="X10" s="8">
        <f t="shared" si="4"/>
        <v>8.5833333333333339</v>
      </c>
      <c r="AA10" s="8">
        <f>SUM(AA3:AA8)</f>
        <v>5.0336522346490211</v>
      </c>
      <c r="AB10" s="8">
        <f t="shared" ref="AB10:AF10" si="5">SUM(AB3:AB8)</f>
        <v>5.4027926442535037</v>
      </c>
      <c r="AC10" s="8">
        <f t="shared" si="5"/>
        <v>3.7271003367120517</v>
      </c>
      <c r="AD10" s="8">
        <f t="shared" si="5"/>
        <v>7.0018767469114236</v>
      </c>
      <c r="AE10" s="8">
        <f t="shared" si="5"/>
        <v>19.849984697655938</v>
      </c>
      <c r="AF10" s="8">
        <f t="shared" si="5"/>
        <v>6.364967038492324</v>
      </c>
    </row>
    <row r="11" spans="2:32" hidden="1" x14ac:dyDescent="0.2"/>
    <row r="12" spans="2:32" hidden="1" x14ac:dyDescent="0.2">
      <c r="C12" s="8">
        <f>C3/C$10</f>
        <v>0.34883720930232559</v>
      </c>
      <c r="D12" s="8">
        <f t="shared" ref="D12:H12" si="6">D3/D$10</f>
        <v>0.3214285714285714</v>
      </c>
      <c r="E12" s="8">
        <f t="shared" si="6"/>
        <v>0.38095238095238093</v>
      </c>
      <c r="F12" s="8">
        <f t="shared" si="6"/>
        <v>0.38095238095238093</v>
      </c>
      <c r="G12" s="8">
        <f t="shared" si="6"/>
        <v>0.25</v>
      </c>
      <c r="H12" s="8">
        <f t="shared" si="6"/>
        <v>0.3214285714285714</v>
      </c>
      <c r="K12" s="8">
        <f>K3/K$10</f>
        <v>0.12903225806451613</v>
      </c>
      <c r="L12" s="8">
        <f t="shared" ref="L12:P12" si="7">L3/L$10</f>
        <v>0.12000000000000002</v>
      </c>
      <c r="M12" s="8">
        <f t="shared" si="7"/>
        <v>0.13157894736842105</v>
      </c>
      <c r="N12" s="8">
        <f t="shared" si="7"/>
        <v>0.2142857142857143</v>
      </c>
      <c r="O12" s="8">
        <f t="shared" si="7"/>
        <v>0.18181818181818182</v>
      </c>
      <c r="P12" s="8">
        <f t="shared" si="7"/>
        <v>0.11029411764705882</v>
      </c>
      <c r="S12" s="8">
        <f>S3/S$10</f>
        <v>0.12765957446808512</v>
      </c>
      <c r="T12" s="8">
        <f t="shared" ref="T12:X12" si="8">T3/T$10</f>
        <v>0.18292682926829265</v>
      </c>
      <c r="U12" s="8">
        <f t="shared" si="8"/>
        <v>0.19047619047619047</v>
      </c>
      <c r="V12" s="8">
        <f t="shared" si="8"/>
        <v>0.22641509433962262</v>
      </c>
      <c r="W12" s="8">
        <f t="shared" si="8"/>
        <v>0.15789473684210525</v>
      </c>
      <c r="X12" s="8">
        <f t="shared" si="8"/>
        <v>3.8834951456310676E-2</v>
      </c>
      <c r="AA12" s="8">
        <f>AA3/AA$10</f>
        <v>0.19866290982847895</v>
      </c>
      <c r="AB12" s="8">
        <f t="shared" ref="AB12:AF12" si="9">AB3/AB$10</f>
        <v>0.21187454672554723</v>
      </c>
      <c r="AC12" s="8">
        <f t="shared" si="9"/>
        <v>0.23438608725703056</v>
      </c>
      <c r="AD12" s="8">
        <f t="shared" si="9"/>
        <v>0.2856377043315157</v>
      </c>
      <c r="AE12" s="8">
        <f t="shared" si="9"/>
        <v>0.19722270323115995</v>
      </c>
      <c r="AF12" s="8">
        <f t="shared" si="9"/>
        <v>0.12469829320154727</v>
      </c>
    </row>
    <row r="13" spans="2:32" hidden="1" x14ac:dyDescent="0.2">
      <c r="C13" s="8">
        <f t="shared" ref="C13:H17" si="10">C4/C$10</f>
        <v>0.11627906976744186</v>
      </c>
      <c r="D13" s="8">
        <f t="shared" si="10"/>
        <v>0.10714285714285714</v>
      </c>
      <c r="E13" s="8">
        <f t="shared" si="10"/>
        <v>9.5238095238095233E-2</v>
      </c>
      <c r="F13" s="8">
        <f t="shared" si="10"/>
        <v>9.5238095238095233E-2</v>
      </c>
      <c r="G13" s="8">
        <f t="shared" si="10"/>
        <v>0.15</v>
      </c>
      <c r="H13" s="8">
        <f t="shared" si="10"/>
        <v>0.10714285714285714</v>
      </c>
      <c r="K13" s="8">
        <f t="shared" ref="K13:P17" si="11">K4/K$10</f>
        <v>0.12903225806451613</v>
      </c>
      <c r="L13" s="8">
        <f t="shared" si="11"/>
        <v>0.12000000000000002</v>
      </c>
      <c r="M13" s="8">
        <f t="shared" si="11"/>
        <v>7.8947368421052641E-2</v>
      </c>
      <c r="N13" s="8">
        <f t="shared" si="11"/>
        <v>0.10714285714285715</v>
      </c>
      <c r="O13" s="8">
        <f t="shared" si="11"/>
        <v>0.13636363636363635</v>
      </c>
      <c r="P13" s="8">
        <f t="shared" si="11"/>
        <v>7.3529411764705885E-2</v>
      </c>
      <c r="S13" s="8">
        <f t="shared" ref="S13:X17" si="12">S4/S$10</f>
        <v>0.25531914893617025</v>
      </c>
      <c r="T13" s="8">
        <f t="shared" si="12"/>
        <v>0.3658536585365853</v>
      </c>
      <c r="U13" s="8">
        <f t="shared" si="12"/>
        <v>0.38095238095238093</v>
      </c>
      <c r="V13" s="8">
        <f t="shared" si="12"/>
        <v>0.33962264150943394</v>
      </c>
      <c r="W13" s="8">
        <f t="shared" si="12"/>
        <v>0.26315789473684209</v>
      </c>
      <c r="X13" s="8">
        <f t="shared" si="12"/>
        <v>0.23300970873786406</v>
      </c>
      <c r="AA13" s="8">
        <f t="shared" ref="AA13:AF17" si="13">AA4/AA$10</f>
        <v>0.17354803709382807</v>
      </c>
      <c r="AB13" s="8">
        <f t="shared" si="13"/>
        <v>0.18508946499429621</v>
      </c>
      <c r="AC13" s="8">
        <f t="shared" si="13"/>
        <v>0.15690576985069077</v>
      </c>
      <c r="AD13" s="8">
        <f t="shared" si="13"/>
        <v>0.16348677417926177</v>
      </c>
      <c r="AE13" s="8">
        <f t="shared" si="13"/>
        <v>0.17918871770768127</v>
      </c>
      <c r="AF13" s="8">
        <f t="shared" si="13"/>
        <v>0.1372482307376135</v>
      </c>
    </row>
    <row r="14" spans="2:32" hidden="1" x14ac:dyDescent="0.2">
      <c r="C14" s="8">
        <f t="shared" si="10"/>
        <v>0.1744186046511628</v>
      </c>
      <c r="D14" s="8">
        <f t="shared" si="10"/>
        <v>0.21428571428571427</v>
      </c>
      <c r="E14" s="8">
        <f t="shared" si="10"/>
        <v>0.19047619047619047</v>
      </c>
      <c r="F14" s="8">
        <f t="shared" si="10"/>
        <v>0.19047619047619047</v>
      </c>
      <c r="G14" s="8">
        <f t="shared" si="10"/>
        <v>0.2</v>
      </c>
      <c r="H14" s="8">
        <f t="shared" si="10"/>
        <v>0.21428571428571427</v>
      </c>
      <c r="K14" s="8">
        <f t="shared" si="11"/>
        <v>0.38709677419354838</v>
      </c>
      <c r="L14" s="8">
        <f t="shared" si="11"/>
        <v>0.24000000000000005</v>
      </c>
      <c r="M14" s="8">
        <f t="shared" si="11"/>
        <v>0.39473684210526316</v>
      </c>
      <c r="N14" s="8">
        <f t="shared" si="11"/>
        <v>0.32142857142857145</v>
      </c>
      <c r="O14" s="8">
        <f t="shared" si="11"/>
        <v>0.27272727272727271</v>
      </c>
      <c r="P14" s="8">
        <f t="shared" si="11"/>
        <v>0.44117647058823528</v>
      </c>
      <c r="S14" s="8">
        <f t="shared" si="12"/>
        <v>0.12765957446808512</v>
      </c>
      <c r="T14" s="8">
        <f t="shared" si="12"/>
        <v>0.18292682926829265</v>
      </c>
      <c r="U14" s="8">
        <f t="shared" si="12"/>
        <v>0.19047619047619047</v>
      </c>
      <c r="V14" s="8">
        <f t="shared" si="12"/>
        <v>0.22641509433962262</v>
      </c>
      <c r="W14" s="8">
        <f t="shared" si="12"/>
        <v>0.21052631578947367</v>
      </c>
      <c r="X14" s="8">
        <f t="shared" si="12"/>
        <v>0.23300970873786406</v>
      </c>
      <c r="AA14" s="8">
        <f t="shared" si="13"/>
        <v>0.22741226234774814</v>
      </c>
      <c r="AB14" s="8">
        <f t="shared" si="13"/>
        <v>0.23319811306009408</v>
      </c>
      <c r="AC14" s="8">
        <f t="shared" si="13"/>
        <v>0.26830509233947086</v>
      </c>
      <c r="AD14" s="8">
        <f t="shared" si="13"/>
        <v>0.25951907731504759</v>
      </c>
      <c r="AE14" s="8">
        <f t="shared" si="13"/>
        <v>0.23067307305048149</v>
      </c>
      <c r="AF14" s="8">
        <f t="shared" si="13"/>
        <v>0.3142200089811843</v>
      </c>
    </row>
    <row r="15" spans="2:32" hidden="1" x14ac:dyDescent="0.2">
      <c r="C15" s="8">
        <f t="shared" si="10"/>
        <v>0.1744186046511628</v>
      </c>
      <c r="D15" s="8">
        <f t="shared" si="10"/>
        <v>0.21428571428571427</v>
      </c>
      <c r="E15" s="8">
        <f t="shared" si="10"/>
        <v>0.19047619047619047</v>
      </c>
      <c r="F15" s="8">
        <f t="shared" si="10"/>
        <v>0.19047619047619047</v>
      </c>
      <c r="G15" s="8">
        <f t="shared" si="10"/>
        <v>0.2</v>
      </c>
      <c r="H15" s="8">
        <f t="shared" si="10"/>
        <v>0.21428571428571427</v>
      </c>
      <c r="K15" s="8">
        <f t="shared" si="11"/>
        <v>6.4516129032258063E-2</v>
      </c>
      <c r="L15" s="8">
        <f t="shared" si="11"/>
        <v>0.12000000000000002</v>
      </c>
      <c r="M15" s="8">
        <f t="shared" si="11"/>
        <v>0.13157894736842105</v>
      </c>
      <c r="N15" s="8">
        <f t="shared" si="11"/>
        <v>0.10714285714285715</v>
      </c>
      <c r="O15" s="8">
        <f t="shared" si="11"/>
        <v>0.13636363636363635</v>
      </c>
      <c r="P15" s="8">
        <f t="shared" si="11"/>
        <v>0.11029411764705882</v>
      </c>
      <c r="S15" s="8">
        <f t="shared" si="12"/>
        <v>6.3829787234042562E-2</v>
      </c>
      <c r="T15" s="8">
        <f t="shared" si="12"/>
        <v>0.12195121951219509</v>
      </c>
      <c r="U15" s="8">
        <f t="shared" si="12"/>
        <v>9.5238095238095233E-2</v>
      </c>
      <c r="V15" s="8">
        <f t="shared" si="12"/>
        <v>0.11320754716981131</v>
      </c>
      <c r="W15" s="8">
        <f t="shared" si="12"/>
        <v>0.10526315789473684</v>
      </c>
      <c r="X15" s="8">
        <f t="shared" si="12"/>
        <v>0.34951456310679607</v>
      </c>
      <c r="AA15" s="8">
        <f t="shared" si="13"/>
        <v>9.9331454914239475E-2</v>
      </c>
      <c r="AB15" s="8">
        <f t="shared" si="13"/>
        <v>0.16169054084751022</v>
      </c>
      <c r="AC15" s="8">
        <f t="shared" si="13"/>
        <v>0.14765398256881465</v>
      </c>
      <c r="AD15" s="8">
        <f t="shared" si="13"/>
        <v>0.14281885216575785</v>
      </c>
      <c r="AE15" s="8">
        <f t="shared" si="13"/>
        <v>0.14531493019011968</v>
      </c>
      <c r="AF15" s="8">
        <f t="shared" si="13"/>
        <v>0.22659183646755152</v>
      </c>
    </row>
    <row r="16" spans="2:32" hidden="1" x14ac:dyDescent="0.2">
      <c r="C16" s="8">
        <f t="shared" si="10"/>
        <v>6.9767441860465115E-2</v>
      </c>
      <c r="D16" s="8">
        <f t="shared" si="10"/>
        <v>3.5714285714285712E-2</v>
      </c>
      <c r="E16" s="8">
        <f t="shared" si="10"/>
        <v>4.7619047619047616E-2</v>
      </c>
      <c r="F16" s="8">
        <f t="shared" si="10"/>
        <v>4.7619047619047616E-2</v>
      </c>
      <c r="G16" s="8">
        <f t="shared" si="10"/>
        <v>0.05</v>
      </c>
      <c r="H16" s="8">
        <f t="shared" si="10"/>
        <v>3.5714285714285712E-2</v>
      </c>
      <c r="K16" s="8">
        <f t="shared" si="11"/>
        <v>3.2258064516129031E-2</v>
      </c>
      <c r="L16" s="8">
        <f t="shared" si="11"/>
        <v>0.04</v>
      </c>
      <c r="M16" s="8">
        <f t="shared" si="11"/>
        <v>6.5789473684210523E-2</v>
      </c>
      <c r="N16" s="8">
        <f t="shared" si="11"/>
        <v>3.5714285714285719E-2</v>
      </c>
      <c r="O16" s="8">
        <f t="shared" si="11"/>
        <v>4.5454545454545456E-2</v>
      </c>
      <c r="P16" s="8">
        <f t="shared" si="11"/>
        <v>4.4117647058823532E-2</v>
      </c>
      <c r="S16" s="8">
        <f t="shared" si="12"/>
        <v>4.2553191489361701E-2</v>
      </c>
      <c r="T16" s="8">
        <f t="shared" si="12"/>
        <v>7.3170731707317069E-2</v>
      </c>
      <c r="U16" s="8">
        <f t="shared" si="12"/>
        <v>4.7619047619047616E-2</v>
      </c>
      <c r="V16" s="8">
        <f t="shared" si="12"/>
        <v>5.6603773584905655E-2</v>
      </c>
      <c r="W16" s="8">
        <f t="shared" si="12"/>
        <v>5.2631578947368418E-2</v>
      </c>
      <c r="X16" s="8">
        <f t="shared" si="12"/>
        <v>2.9126213592233007E-2</v>
      </c>
      <c r="AA16" s="8">
        <f t="shared" si="13"/>
        <v>5.0745753889437771E-2</v>
      </c>
      <c r="AB16" s="8">
        <f t="shared" si="13"/>
        <v>5.2036833593138022E-2</v>
      </c>
      <c r="AC16" s="8">
        <f t="shared" si="13"/>
        <v>5.8596521814257639E-2</v>
      </c>
      <c r="AD16" s="8">
        <f t="shared" si="13"/>
        <v>4.9512530669472379E-2</v>
      </c>
      <c r="AE16" s="8">
        <f t="shared" si="13"/>
        <v>5.0377872589397459E-2</v>
      </c>
      <c r="AF16" s="8">
        <f t="shared" si="13"/>
        <v>4.0131626121511416E-2</v>
      </c>
    </row>
    <row r="17" spans="3:32" hidden="1" x14ac:dyDescent="0.2">
      <c r="C17" s="8">
        <f t="shared" si="10"/>
        <v>0.11627906976744186</v>
      </c>
      <c r="D17" s="8">
        <f t="shared" si="10"/>
        <v>0.10714285714285714</v>
      </c>
      <c r="E17" s="8">
        <f t="shared" si="10"/>
        <v>9.5238095238095233E-2</v>
      </c>
      <c r="F17" s="8">
        <f t="shared" si="10"/>
        <v>9.5238095238095233E-2</v>
      </c>
      <c r="G17" s="8">
        <f t="shared" si="10"/>
        <v>0.15</v>
      </c>
      <c r="H17" s="8">
        <f t="shared" si="10"/>
        <v>0.10714285714285714</v>
      </c>
      <c r="K17" s="8">
        <f t="shared" si="11"/>
        <v>0.25806451612903225</v>
      </c>
      <c r="L17" s="8">
        <f t="shared" si="11"/>
        <v>0.36000000000000004</v>
      </c>
      <c r="M17" s="8">
        <f t="shared" si="11"/>
        <v>0.19736842105263158</v>
      </c>
      <c r="N17" s="8">
        <f t="shared" si="11"/>
        <v>0.2142857142857143</v>
      </c>
      <c r="O17" s="8">
        <f t="shared" si="11"/>
        <v>0.22727272727272727</v>
      </c>
      <c r="P17" s="8">
        <f t="shared" si="11"/>
        <v>0.22058823529411764</v>
      </c>
      <c r="S17" s="8">
        <f t="shared" si="12"/>
        <v>0.38297872340425532</v>
      </c>
      <c r="T17" s="8">
        <f t="shared" si="12"/>
        <v>7.3170731707317069E-2</v>
      </c>
      <c r="U17" s="8">
        <f t="shared" si="12"/>
        <v>9.5238095238095233E-2</v>
      </c>
      <c r="V17" s="8">
        <f t="shared" si="12"/>
        <v>3.7735849056603772E-2</v>
      </c>
      <c r="W17" s="8">
        <f t="shared" si="12"/>
        <v>0.21052631578947367</v>
      </c>
      <c r="X17" s="8">
        <f t="shared" si="12"/>
        <v>0.11650485436893203</v>
      </c>
      <c r="AA17" s="8">
        <f t="shared" si="13"/>
        <v>0.25029958192626772</v>
      </c>
      <c r="AB17" s="8">
        <f t="shared" si="13"/>
        <v>0.1561105007794141</v>
      </c>
      <c r="AC17" s="8">
        <f t="shared" si="13"/>
        <v>0.13415254616973543</v>
      </c>
      <c r="AD17" s="8">
        <f t="shared" si="13"/>
        <v>9.9025061338944759E-2</v>
      </c>
      <c r="AE17" s="8">
        <f t="shared" si="13"/>
        <v>0.19722270323115995</v>
      </c>
      <c r="AF17" s="8">
        <f t="shared" si="13"/>
        <v>0.15711000449059215</v>
      </c>
    </row>
    <row r="19" spans="3:32" x14ac:dyDescent="0.2">
      <c r="F19" s="8" t="str">
        <f t="shared" ref="F19:F24" si="14">B3</f>
        <v>financije</v>
      </c>
      <c r="G19" s="8">
        <f>AVERAGE(C12:H12)</f>
        <v>0.33393318567737174</v>
      </c>
      <c r="N19" s="8" t="str">
        <f t="shared" ref="N19:N24" si="15">J3</f>
        <v>financije</v>
      </c>
      <c r="O19" s="8">
        <f>AVERAGE(K12:P12)</f>
        <v>0.14783486986398206</v>
      </c>
      <c r="V19" s="8" t="str">
        <f t="shared" ref="V19:V24" si="16">R3</f>
        <v>financije</v>
      </c>
      <c r="W19" s="8">
        <f>AVERAGE(S12:X12)</f>
        <v>0.15403456280843444</v>
      </c>
      <c r="AD19" s="8" t="str">
        <f t="shared" ref="AD19:AD24" si="17">Z3</f>
        <v>financije</v>
      </c>
      <c r="AE19" s="11">
        <f>AVERAGE(AA12:AF12)</f>
        <v>0.2087470407625466</v>
      </c>
    </row>
    <row r="20" spans="3:32" x14ac:dyDescent="0.2">
      <c r="F20" s="8" t="str">
        <f t="shared" si="14"/>
        <v>kvaliteta</v>
      </c>
      <c r="G20" s="8">
        <f t="shared" ref="G20:G24" si="18">AVERAGE(C13:H13)</f>
        <v>0.11184016242155775</v>
      </c>
      <c r="N20" s="8" t="str">
        <f t="shared" si="15"/>
        <v>kvaliteta</v>
      </c>
      <c r="O20" s="8">
        <f t="shared" ref="O20:O24" si="19">AVERAGE(K13:P13)</f>
        <v>0.10750258862612801</v>
      </c>
      <c r="V20" s="8" t="str">
        <f t="shared" si="16"/>
        <v>kvaliteta</v>
      </c>
      <c r="W20" s="8">
        <f t="shared" ref="W20:W24" si="20">AVERAGE(S13:X13)</f>
        <v>0.30631923890154605</v>
      </c>
      <c r="AD20" s="8" t="str">
        <f t="shared" si="17"/>
        <v>kvaliteta</v>
      </c>
      <c r="AE20" s="11">
        <f t="shared" ref="AE20:AE24" si="21">AVERAGE(AA13:AF13)</f>
        <v>0.16591116576056195</v>
      </c>
    </row>
    <row r="21" spans="3:32" x14ac:dyDescent="0.2">
      <c r="F21" s="8" t="str">
        <f t="shared" si="14"/>
        <v>brzina</v>
      </c>
      <c r="G21" s="8">
        <f t="shared" si="18"/>
        <v>0.1973237356958287</v>
      </c>
      <c r="N21" s="8" t="str">
        <f t="shared" si="15"/>
        <v>brzina</v>
      </c>
      <c r="O21" s="8">
        <f t="shared" si="19"/>
        <v>0.34286098850714852</v>
      </c>
      <c r="V21" s="8" t="str">
        <f t="shared" si="16"/>
        <v>brzina</v>
      </c>
      <c r="W21" s="8">
        <f t="shared" si="20"/>
        <v>0.19516895217992145</v>
      </c>
      <c r="AD21" s="8" t="str">
        <f t="shared" si="17"/>
        <v>brzina</v>
      </c>
      <c r="AE21" s="11">
        <f t="shared" si="21"/>
        <v>0.25555460451567108</v>
      </c>
    </row>
    <row r="22" spans="3:32" x14ac:dyDescent="0.2">
      <c r="F22" s="8" t="str">
        <f t="shared" si="14"/>
        <v>ljudi</v>
      </c>
      <c r="G22" s="8">
        <f t="shared" si="18"/>
        <v>0.1973237356958287</v>
      </c>
      <c r="N22" s="8" t="str">
        <f t="shared" si="15"/>
        <v>ljudi</v>
      </c>
      <c r="O22" s="8">
        <f t="shared" si="19"/>
        <v>0.11164928125903857</v>
      </c>
      <c r="V22" s="8" t="str">
        <f t="shared" si="16"/>
        <v>ljudi</v>
      </c>
      <c r="W22" s="8">
        <f t="shared" si="20"/>
        <v>0.14150072835927952</v>
      </c>
      <c r="AD22" s="8" t="str">
        <f t="shared" si="17"/>
        <v>ljudi</v>
      </c>
      <c r="AE22" s="11">
        <f t="shared" si="21"/>
        <v>0.15390026619233224</v>
      </c>
    </row>
    <row r="23" spans="3:32" x14ac:dyDescent="0.2">
      <c r="F23" s="8" t="str">
        <f t="shared" si="14"/>
        <v>korisnik</v>
      </c>
      <c r="G23" s="8">
        <f t="shared" si="18"/>
        <v>4.7739018087855294E-2</v>
      </c>
      <c r="N23" s="8" t="str">
        <f t="shared" si="15"/>
        <v>korisnik</v>
      </c>
      <c r="O23" s="8">
        <f t="shared" si="19"/>
        <v>4.388900273799904E-2</v>
      </c>
      <c r="V23" s="8" t="str">
        <f t="shared" si="16"/>
        <v>korisnik</v>
      </c>
      <c r="W23" s="8">
        <f t="shared" si="20"/>
        <v>5.0284089490038909E-2</v>
      </c>
      <c r="AD23" s="8" t="str">
        <f t="shared" si="17"/>
        <v>korisnik</v>
      </c>
      <c r="AE23" s="11">
        <f t="shared" si="21"/>
        <v>5.0233523112869126E-2</v>
      </c>
    </row>
    <row r="24" spans="3:32" x14ac:dyDescent="0.2">
      <c r="F24" s="8" t="str">
        <f t="shared" si="14"/>
        <v>učinkovitost</v>
      </c>
      <c r="G24" s="8">
        <f t="shared" si="18"/>
        <v>0.11184016242155775</v>
      </c>
      <c r="N24" s="8" t="str">
        <f t="shared" si="15"/>
        <v>učinkovitost</v>
      </c>
      <c r="O24" s="8">
        <f t="shared" si="19"/>
        <v>0.24626326900570383</v>
      </c>
      <c r="V24" s="8" t="str">
        <f t="shared" si="16"/>
        <v>učikovitost</v>
      </c>
      <c r="W24" s="8">
        <f t="shared" si="20"/>
        <v>0.15269242826077953</v>
      </c>
      <c r="AD24" s="8" t="str">
        <f t="shared" si="17"/>
        <v>učinkovitost</v>
      </c>
      <c r="AE24" s="11">
        <f t="shared" si="21"/>
        <v>0.16565339965601902</v>
      </c>
    </row>
    <row r="26" spans="3:32" hidden="1" x14ac:dyDescent="0.2">
      <c r="C26" s="8">
        <f>C3*G$19</f>
        <v>0.33393318567737174</v>
      </c>
      <c r="D26" s="8">
        <f>D3*G$20</f>
        <v>0.33552048726467326</v>
      </c>
      <c r="E26" s="8">
        <f>E3*G$21</f>
        <v>0.3946474713916574</v>
      </c>
      <c r="F26" s="8">
        <f>F3*G$22</f>
        <v>0.3946474713916574</v>
      </c>
      <c r="G26" s="8">
        <f>G3*G$23</f>
        <v>0.23869509043927647</v>
      </c>
      <c r="H26" s="8">
        <f>G$24*H3</f>
        <v>0.33552048726467326</v>
      </c>
      <c r="K26" s="8">
        <f>K3*O$19</f>
        <v>0.14783486986398206</v>
      </c>
      <c r="L26" s="8">
        <f>L3*O$20</f>
        <v>0.10750258862612801</v>
      </c>
      <c r="M26" s="8">
        <f>M3*O$21</f>
        <v>0.1142869961690495</v>
      </c>
      <c r="N26" s="8">
        <f>N3*O$22</f>
        <v>0.22329856251807714</v>
      </c>
      <c r="O26" s="8">
        <f>O3*O$23</f>
        <v>0.17555601095199616</v>
      </c>
      <c r="P26" s="8">
        <f>O$24*P3</f>
        <v>0.12313163450285192</v>
      </c>
      <c r="S26" s="8">
        <f>S3*W$19</f>
        <v>0.15403456280843444</v>
      </c>
      <c r="T26" s="8">
        <f>T3*W$20</f>
        <v>0.15315961945077303</v>
      </c>
      <c r="U26" s="8">
        <f>U3*W$21</f>
        <v>0.19516895217992145</v>
      </c>
      <c r="V26" s="8">
        <f>V3*W$22</f>
        <v>0.28300145671855903</v>
      </c>
      <c r="W26" s="8">
        <f>W3*W$23</f>
        <v>0.15085226847011673</v>
      </c>
      <c r="X26" s="8">
        <f>W$24*X3</f>
        <v>5.0897476086926505E-2</v>
      </c>
      <c r="AA26" s="8">
        <f>AA3*AE$19</f>
        <v>0.2087470407625466</v>
      </c>
      <c r="AB26" s="8">
        <f>AB3*AE$20</f>
        <v>0.18992087444474196</v>
      </c>
      <c r="AC26" s="8">
        <f>AC3*AE$21</f>
        <v>0.22324751017830102</v>
      </c>
      <c r="AD26" s="8">
        <f>AD3*AE$22</f>
        <v>0.30780053238466448</v>
      </c>
      <c r="AE26" s="8">
        <f>AE3*AE$23</f>
        <v>0.19665759413647954</v>
      </c>
      <c r="AF26" s="8">
        <f>AE$24*AF3</f>
        <v>0.1314791904380366</v>
      </c>
    </row>
    <row r="27" spans="3:32" hidden="1" x14ac:dyDescent="0.2">
      <c r="C27" s="8">
        <f t="shared" ref="C27:C31" si="22">C4*G$19</f>
        <v>0.11131106189245724</v>
      </c>
      <c r="D27" s="8">
        <f t="shared" ref="D27:D31" si="23">D4*G$20</f>
        <v>0.11184016242155775</v>
      </c>
      <c r="E27" s="8">
        <f t="shared" ref="E27:E31" si="24">E4*G$21</f>
        <v>9.866186784791435E-2</v>
      </c>
      <c r="F27" s="8">
        <f t="shared" ref="F27:F31" si="25">F4*G$22</f>
        <v>9.866186784791435E-2</v>
      </c>
      <c r="G27" s="8">
        <f t="shared" ref="G27:G31" si="26">G4*G$23</f>
        <v>0.14321705426356587</v>
      </c>
      <c r="H27" s="8">
        <f t="shared" ref="H27:H31" si="27">G$24*H4</f>
        <v>0.11184016242155775</v>
      </c>
      <c r="K27" s="8">
        <f t="shared" ref="K27:K31" si="28">K4*O$19</f>
        <v>0.14783486986398206</v>
      </c>
      <c r="L27" s="8">
        <f t="shared" ref="L27:L31" si="29">L4*O$20</f>
        <v>0.10750258862612801</v>
      </c>
      <c r="M27" s="8">
        <f t="shared" ref="M27:M31" si="30">M4*O$21</f>
        <v>6.8572197701429707E-2</v>
      </c>
      <c r="N27" s="8">
        <f t="shared" ref="N27:N31" si="31">N4*O$22</f>
        <v>0.11164928125903857</v>
      </c>
      <c r="O27" s="8">
        <f t="shared" ref="O27:O31" si="32">O4*O$23</f>
        <v>0.13166700821399713</v>
      </c>
      <c r="P27" s="8">
        <f t="shared" ref="P27:P31" si="33">O$24*P4</f>
        <v>8.2087756335234602E-2</v>
      </c>
      <c r="S27" s="8">
        <f t="shared" ref="S27:S31" si="34">S4*W$19</f>
        <v>0.30806912561686889</v>
      </c>
      <c r="T27" s="8">
        <f t="shared" ref="T27:T31" si="35">T4*W$20</f>
        <v>0.30631923890154605</v>
      </c>
      <c r="U27" s="8">
        <f t="shared" ref="U27:U31" si="36">U4*W$21</f>
        <v>0.39033790435984289</v>
      </c>
      <c r="V27" s="8">
        <f t="shared" ref="V27:V31" si="37">V4*W$22</f>
        <v>0.42450218507783855</v>
      </c>
      <c r="W27" s="8">
        <f t="shared" ref="W27:W31" si="38">W4*W$23</f>
        <v>0.25142044745019454</v>
      </c>
      <c r="X27" s="8">
        <f t="shared" ref="X27:X31" si="39">W$24*X4</f>
        <v>0.30538485652155906</v>
      </c>
      <c r="AA27" s="8">
        <f t="shared" ref="AA27:AA31" si="40">AA4*AE$19</f>
        <v>0.1823573368816726</v>
      </c>
      <c r="AB27" s="8">
        <f t="shared" ref="AB27:AB31" si="41">AB4*AE$20</f>
        <v>0.16591116576056195</v>
      </c>
      <c r="AC27" s="8">
        <f t="shared" ref="AC27:AC31" si="42">AC4*AE$21</f>
        <v>0.14944923933715923</v>
      </c>
      <c r="AD27" s="8">
        <f t="shared" ref="AD27:AD31" si="43">AD4*AE$22</f>
        <v>0.17617182664311176</v>
      </c>
      <c r="AE27" s="8">
        <f t="shared" ref="AE27:AE31" si="44">AE4*AE$23</f>
        <v>0.17867528202111102</v>
      </c>
      <c r="AF27" s="8">
        <f t="shared" ref="AF27:AF31" si="45">AE$24*AF4</f>
        <v>0.14471157385665295</v>
      </c>
    </row>
    <row r="28" spans="3:32" hidden="1" x14ac:dyDescent="0.2">
      <c r="C28" s="8">
        <f t="shared" si="22"/>
        <v>0.16696659283868587</v>
      </c>
      <c r="D28" s="8">
        <f t="shared" si="23"/>
        <v>0.22368032484311551</v>
      </c>
      <c r="E28" s="8">
        <f t="shared" si="24"/>
        <v>0.1973237356958287</v>
      </c>
      <c r="F28" s="8">
        <f t="shared" si="25"/>
        <v>0.1973237356958287</v>
      </c>
      <c r="G28" s="8">
        <f t="shared" si="26"/>
        <v>0.19095607235142117</v>
      </c>
      <c r="H28" s="8">
        <f t="shared" si="27"/>
        <v>0.22368032484311551</v>
      </c>
      <c r="K28" s="8">
        <f t="shared" si="28"/>
        <v>0.44350460959194615</v>
      </c>
      <c r="L28" s="8">
        <f t="shared" si="29"/>
        <v>0.21500517725225601</v>
      </c>
      <c r="M28" s="8">
        <f t="shared" si="30"/>
        <v>0.34286098850714852</v>
      </c>
      <c r="N28" s="8">
        <f t="shared" si="31"/>
        <v>0.33494784377711573</v>
      </c>
      <c r="O28" s="8">
        <f t="shared" si="32"/>
        <v>0.26333401642799426</v>
      </c>
      <c r="P28" s="8">
        <f t="shared" si="33"/>
        <v>0.49252653801140767</v>
      </c>
      <c r="S28" s="8">
        <f t="shared" si="34"/>
        <v>0.15403456280843444</v>
      </c>
      <c r="T28" s="8">
        <f t="shared" si="35"/>
        <v>0.15315961945077303</v>
      </c>
      <c r="U28" s="8">
        <f t="shared" si="36"/>
        <v>0.19516895217992145</v>
      </c>
      <c r="V28" s="8">
        <f t="shared" si="37"/>
        <v>0.28300145671855903</v>
      </c>
      <c r="W28" s="8">
        <f t="shared" si="38"/>
        <v>0.20113635796015564</v>
      </c>
      <c r="X28" s="8">
        <f t="shared" si="39"/>
        <v>0.30538485652155906</v>
      </c>
      <c r="AA28" s="8">
        <f t="shared" si="40"/>
        <v>0.23895571065174803</v>
      </c>
      <c r="AB28" s="8">
        <f t="shared" si="41"/>
        <v>0.20903497015432954</v>
      </c>
      <c r="AC28" s="8">
        <f t="shared" si="42"/>
        <v>0.25555460451567108</v>
      </c>
      <c r="AD28" s="8">
        <f t="shared" si="43"/>
        <v>0.27965534294043487</v>
      </c>
      <c r="AE28" s="8">
        <f t="shared" si="44"/>
        <v>0.23001211744373309</v>
      </c>
      <c r="AF28" s="8">
        <f t="shared" si="45"/>
        <v>0.33130679931203805</v>
      </c>
    </row>
    <row r="29" spans="3:32" hidden="1" x14ac:dyDescent="0.2">
      <c r="C29" s="8">
        <f t="shared" si="22"/>
        <v>0.16696659283868587</v>
      </c>
      <c r="D29" s="8">
        <f t="shared" si="23"/>
        <v>0.22368032484311551</v>
      </c>
      <c r="E29" s="8">
        <f t="shared" si="24"/>
        <v>0.1973237356958287</v>
      </c>
      <c r="F29" s="8">
        <f t="shared" si="25"/>
        <v>0.1973237356958287</v>
      </c>
      <c r="G29" s="8">
        <f t="shared" si="26"/>
        <v>0.19095607235142117</v>
      </c>
      <c r="H29" s="8">
        <f t="shared" si="27"/>
        <v>0.22368032484311551</v>
      </c>
      <c r="K29" s="8">
        <f t="shared" si="28"/>
        <v>7.391743493199103E-2</v>
      </c>
      <c r="L29" s="8">
        <f t="shared" si="29"/>
        <v>0.10750258862612801</v>
      </c>
      <c r="M29" s="8">
        <f t="shared" si="30"/>
        <v>0.1142869961690495</v>
      </c>
      <c r="N29" s="8">
        <f t="shared" si="31"/>
        <v>0.11164928125903857</v>
      </c>
      <c r="O29" s="8">
        <f t="shared" si="32"/>
        <v>0.13166700821399713</v>
      </c>
      <c r="P29" s="8">
        <f t="shared" si="33"/>
        <v>0.12313163450285192</v>
      </c>
      <c r="S29" s="8">
        <f t="shared" si="34"/>
        <v>7.7017281404217222E-2</v>
      </c>
      <c r="T29" s="8">
        <f t="shared" si="35"/>
        <v>0.10210641296718201</v>
      </c>
      <c r="U29" s="8">
        <f t="shared" si="36"/>
        <v>9.7584476089960723E-2</v>
      </c>
      <c r="V29" s="8">
        <f t="shared" si="37"/>
        <v>0.14150072835927952</v>
      </c>
      <c r="W29" s="8">
        <f t="shared" si="38"/>
        <v>0.10056817898007782</v>
      </c>
      <c r="X29" s="8">
        <f t="shared" si="39"/>
        <v>0.45807728478233856</v>
      </c>
      <c r="AA29" s="8">
        <f t="shared" si="40"/>
        <v>0.1043735203812733</v>
      </c>
      <c r="AB29" s="8">
        <f t="shared" si="41"/>
        <v>0.14493675329005282</v>
      </c>
      <c r="AC29" s="8">
        <f t="shared" si="42"/>
        <v>0.14063711870513068</v>
      </c>
      <c r="AD29" s="8">
        <f t="shared" si="43"/>
        <v>0.15390026619233224</v>
      </c>
      <c r="AE29" s="8">
        <f t="shared" si="44"/>
        <v>0.14489855424912551</v>
      </c>
      <c r="AF29" s="8">
        <f t="shared" si="45"/>
        <v>0.23891354447385482</v>
      </c>
    </row>
    <row r="30" spans="3:32" hidden="1" x14ac:dyDescent="0.2">
      <c r="C30" s="8">
        <f t="shared" si="22"/>
        <v>6.678663713547435E-2</v>
      </c>
      <c r="D30" s="8">
        <f t="shared" si="23"/>
        <v>3.7280054140519249E-2</v>
      </c>
      <c r="E30" s="8">
        <f t="shared" si="24"/>
        <v>4.9330933923957175E-2</v>
      </c>
      <c r="F30" s="8">
        <f t="shared" si="25"/>
        <v>4.9330933923957175E-2</v>
      </c>
      <c r="G30" s="8">
        <f t="shared" si="26"/>
        <v>4.7739018087855294E-2</v>
      </c>
      <c r="H30" s="8">
        <f t="shared" si="27"/>
        <v>3.7280054140519249E-2</v>
      </c>
      <c r="K30" s="8">
        <f t="shared" si="28"/>
        <v>3.6958717465995515E-2</v>
      </c>
      <c r="L30" s="8">
        <f t="shared" si="29"/>
        <v>3.5834196208709333E-2</v>
      </c>
      <c r="M30" s="8">
        <f t="shared" si="30"/>
        <v>5.7143498084524749E-2</v>
      </c>
      <c r="N30" s="8">
        <f t="shared" si="31"/>
        <v>3.721642708634619E-2</v>
      </c>
      <c r="O30" s="8">
        <f t="shared" si="32"/>
        <v>4.388900273799904E-2</v>
      </c>
      <c r="P30" s="8">
        <f t="shared" si="33"/>
        <v>4.9252653801140772E-2</v>
      </c>
      <c r="S30" s="8">
        <f t="shared" si="34"/>
        <v>5.1344854269478143E-2</v>
      </c>
      <c r="T30" s="8">
        <f t="shared" si="35"/>
        <v>6.1263847780309216E-2</v>
      </c>
      <c r="U30" s="8">
        <f t="shared" si="36"/>
        <v>4.8792238044980361E-2</v>
      </c>
      <c r="V30" s="8">
        <f t="shared" si="37"/>
        <v>7.0750364179639758E-2</v>
      </c>
      <c r="W30" s="8">
        <f t="shared" si="38"/>
        <v>5.0284089490038909E-2</v>
      </c>
      <c r="X30" s="8">
        <f t="shared" si="39"/>
        <v>3.8173107065194882E-2</v>
      </c>
      <c r="AA30" s="8">
        <f t="shared" si="40"/>
        <v>5.3321608773526992E-2</v>
      </c>
      <c r="AB30" s="8">
        <f t="shared" si="41"/>
        <v>4.6644965580250358E-2</v>
      </c>
      <c r="AC30" s="8">
        <f t="shared" si="42"/>
        <v>5.5811877544575256E-2</v>
      </c>
      <c r="AD30" s="8">
        <f t="shared" si="43"/>
        <v>5.3354242345008691E-2</v>
      </c>
      <c r="AE30" s="8">
        <f t="shared" si="44"/>
        <v>5.0233523112869126E-2</v>
      </c>
      <c r="AF30" s="8">
        <f t="shared" si="45"/>
        <v>4.231392088815545E-2</v>
      </c>
    </row>
    <row r="31" spans="3:32" hidden="1" x14ac:dyDescent="0.2">
      <c r="C31" s="8">
        <f t="shared" si="22"/>
        <v>0.11131106189245724</v>
      </c>
      <c r="D31" s="8">
        <f t="shared" si="23"/>
        <v>0.11184016242155775</v>
      </c>
      <c r="E31" s="8">
        <f t="shared" si="24"/>
        <v>9.866186784791435E-2</v>
      </c>
      <c r="F31" s="8">
        <f t="shared" si="25"/>
        <v>9.866186784791435E-2</v>
      </c>
      <c r="G31" s="8">
        <f t="shared" si="26"/>
        <v>0.14321705426356587</v>
      </c>
      <c r="H31" s="8">
        <f t="shared" si="27"/>
        <v>0.11184016242155775</v>
      </c>
      <c r="K31" s="8">
        <f t="shared" si="28"/>
        <v>0.29566973972796412</v>
      </c>
      <c r="L31" s="8">
        <f t="shared" si="29"/>
        <v>0.32250776587838403</v>
      </c>
      <c r="M31" s="8">
        <f t="shared" si="30"/>
        <v>0.17143049425357426</v>
      </c>
      <c r="N31" s="8">
        <f t="shared" si="31"/>
        <v>0.22329856251807714</v>
      </c>
      <c r="O31" s="8">
        <f t="shared" si="32"/>
        <v>0.21944501368999519</v>
      </c>
      <c r="P31" s="8">
        <f t="shared" si="33"/>
        <v>0.24626326900570383</v>
      </c>
      <c r="S31" s="8">
        <f t="shared" si="34"/>
        <v>0.46210368842530336</v>
      </c>
      <c r="T31" s="8">
        <f t="shared" si="35"/>
        <v>6.1263847780309216E-2</v>
      </c>
      <c r="U31" s="8">
        <f t="shared" si="36"/>
        <v>9.7584476089960723E-2</v>
      </c>
      <c r="V31" s="8">
        <f t="shared" si="37"/>
        <v>4.7166909453093167E-2</v>
      </c>
      <c r="W31" s="8">
        <f t="shared" si="38"/>
        <v>0.20113635796015564</v>
      </c>
      <c r="X31" s="8">
        <f t="shared" si="39"/>
        <v>0.15269242826077953</v>
      </c>
      <c r="AA31" s="8">
        <f t="shared" si="40"/>
        <v>0.26300479075999561</v>
      </c>
      <c r="AB31" s="8">
        <f t="shared" si="41"/>
        <v>0.1399348967407511</v>
      </c>
      <c r="AC31" s="8">
        <f t="shared" si="42"/>
        <v>0.12777730225783554</v>
      </c>
      <c r="AD31" s="8">
        <f t="shared" si="43"/>
        <v>0.10670848469001738</v>
      </c>
      <c r="AE31" s="8">
        <f t="shared" si="44"/>
        <v>0.19665759413647954</v>
      </c>
      <c r="AF31" s="8">
        <f t="shared" si="45"/>
        <v>0.16565339965601902</v>
      </c>
    </row>
    <row r="32" spans="3:32" hidden="1" x14ac:dyDescent="0.2"/>
    <row r="33" spans="3:31" hidden="1" x14ac:dyDescent="0.2"/>
    <row r="34" spans="3:31" hidden="1" x14ac:dyDescent="0.2">
      <c r="C34" s="8">
        <f>SUM(C26:H26)</f>
        <v>2.0329641934293097</v>
      </c>
      <c r="E34" s="8">
        <f>G19</f>
        <v>0.33393318567737174</v>
      </c>
      <c r="G34" s="8">
        <f>C34/E34</f>
        <v>6.0879369904656624</v>
      </c>
      <c r="K34" s="8">
        <f>SUM(K26:P26)</f>
        <v>0.89161066263208477</v>
      </c>
      <c r="M34" s="8">
        <f>O19</f>
        <v>0.14783486986398206</v>
      </c>
      <c r="O34" s="8">
        <f>K34/M34</f>
        <v>6.0311255622738127</v>
      </c>
      <c r="S34" s="8">
        <f>SUM(S26:X26)</f>
        <v>0.98711433571473117</v>
      </c>
      <c r="U34" s="8">
        <f>W19</f>
        <v>0.15403456280843444</v>
      </c>
      <c r="W34" s="8">
        <f>S34/U34</f>
        <v>6.4083950882008143</v>
      </c>
      <c r="AA34" s="8">
        <f>SUM(AA26:AF26)</f>
        <v>1.2578527423447703</v>
      </c>
      <c r="AC34" s="8">
        <f>AE19</f>
        <v>0.2087470407625466</v>
      </c>
      <c r="AE34" s="8">
        <f>AA34/AC34</f>
        <v>6.025727300132603</v>
      </c>
    </row>
    <row r="35" spans="3:31" hidden="1" x14ac:dyDescent="0.2">
      <c r="C35" s="8">
        <f t="shared" ref="C35:C39" si="46">SUM(C27:H27)</f>
        <v>0.67553217669496735</v>
      </c>
      <c r="E35" s="8">
        <f t="shared" ref="E35:E39" si="47">G20</f>
        <v>0.11184016242155775</v>
      </c>
      <c r="G35" s="8">
        <f t="shared" ref="G35:G39" si="48">C35/E35</f>
        <v>6.0401573287124908</v>
      </c>
      <c r="K35" s="8">
        <f t="shared" ref="K35:K39" si="49">SUM(K27:P27)</f>
        <v>0.64931370199980998</v>
      </c>
      <c r="M35" s="8">
        <f t="shared" ref="M35:M39" si="50">O20</f>
        <v>0.10750258862612801</v>
      </c>
      <c r="O35" s="8">
        <f t="shared" ref="O35:O39" si="51">K35/M35</f>
        <v>6.0399820162283726</v>
      </c>
      <c r="S35" s="8">
        <f t="shared" ref="S35:S39" si="52">SUM(S27:X27)</f>
        <v>1.9860337579278502</v>
      </c>
      <c r="U35" s="8">
        <f t="shared" ref="U35:U39" si="53">W20</f>
        <v>0.30631923890154605</v>
      </c>
      <c r="W35" s="8">
        <f t="shared" ref="W35:W39" si="54">S35/U35</f>
        <v>6.4835423496405999</v>
      </c>
      <c r="AA35" s="8">
        <f t="shared" ref="AA35:AA39" si="55">SUM(AA27:AF27)</f>
        <v>0.99727642450026943</v>
      </c>
      <c r="AC35" s="8">
        <f t="shared" ref="AC35:AC39" si="56">AE20</f>
        <v>0.16591116576056195</v>
      </c>
      <c r="AE35" s="8">
        <f t="shared" ref="AE35:AE39" si="57">AA35/AC35</f>
        <v>6.0109060166541717</v>
      </c>
    </row>
    <row r="36" spans="3:31" hidden="1" x14ac:dyDescent="0.2">
      <c r="C36" s="8">
        <f t="shared" si="46"/>
        <v>1.1999307862679955</v>
      </c>
      <c r="E36" s="8">
        <f t="shared" si="47"/>
        <v>0.1973237356958287</v>
      </c>
      <c r="G36" s="8">
        <f t="shared" si="48"/>
        <v>6.0810260967168652</v>
      </c>
      <c r="K36" s="8">
        <f t="shared" si="49"/>
        <v>2.0921791735678683</v>
      </c>
      <c r="M36" s="8">
        <f t="shared" si="50"/>
        <v>0.34286098850714852</v>
      </c>
      <c r="O36" s="8">
        <f t="shared" si="51"/>
        <v>6.1021208119285557</v>
      </c>
      <c r="S36" s="8">
        <f t="shared" si="52"/>
        <v>1.2918858056394027</v>
      </c>
      <c r="U36" s="8">
        <f t="shared" si="53"/>
        <v>0.19516895217992145</v>
      </c>
      <c r="W36" s="8">
        <f t="shared" si="54"/>
        <v>6.6193202925455328</v>
      </c>
      <c r="AA36" s="8">
        <f t="shared" si="55"/>
        <v>1.5445195450179545</v>
      </c>
      <c r="AC36" s="8">
        <f t="shared" si="56"/>
        <v>0.25555460451567108</v>
      </c>
      <c r="AE36" s="8">
        <f t="shared" si="57"/>
        <v>6.0437946244214187</v>
      </c>
    </row>
    <row r="37" spans="3:31" hidden="1" x14ac:dyDescent="0.2">
      <c r="C37" s="8">
        <f t="shared" si="46"/>
        <v>1.1999307862679955</v>
      </c>
      <c r="E37" s="8">
        <f t="shared" si="47"/>
        <v>0.1973237356958287</v>
      </c>
      <c r="G37" s="8">
        <f t="shared" si="48"/>
        <v>6.0810260967168652</v>
      </c>
      <c r="K37" s="8">
        <f t="shared" si="49"/>
        <v>0.66215494370305605</v>
      </c>
      <c r="M37" s="8">
        <f t="shared" si="50"/>
        <v>0.11164928125903857</v>
      </c>
      <c r="O37" s="8">
        <f t="shared" si="51"/>
        <v>5.9306691116692818</v>
      </c>
      <c r="S37" s="8">
        <f t="shared" si="52"/>
        <v>0.97685436258305591</v>
      </c>
      <c r="U37" s="8">
        <f t="shared" si="53"/>
        <v>0.14150072835927952</v>
      </c>
      <c r="W37" s="8">
        <f t="shared" si="54"/>
        <v>6.9035288645494415</v>
      </c>
      <c r="AA37" s="8">
        <f t="shared" si="55"/>
        <v>0.9276597572917693</v>
      </c>
      <c r="AC37" s="8">
        <f t="shared" si="56"/>
        <v>0.15390026619233224</v>
      </c>
      <c r="AE37" s="8">
        <f t="shared" si="57"/>
        <v>6.0276683091142571</v>
      </c>
    </row>
    <row r="38" spans="3:31" hidden="1" x14ac:dyDescent="0.2">
      <c r="C38" s="8">
        <f t="shared" si="46"/>
        <v>0.28774763135228254</v>
      </c>
      <c r="E38" s="8">
        <f t="shared" si="47"/>
        <v>4.7739018087855294E-2</v>
      </c>
      <c r="G38" s="8">
        <f t="shared" si="48"/>
        <v>6.0275146594497082</v>
      </c>
      <c r="K38" s="8">
        <f t="shared" si="49"/>
        <v>0.26029449538471561</v>
      </c>
      <c r="M38" s="8">
        <f t="shared" si="50"/>
        <v>4.388900273799904E-2</v>
      </c>
      <c r="O38" s="8">
        <f t="shared" si="51"/>
        <v>5.930745269802018</v>
      </c>
      <c r="S38" s="8">
        <f t="shared" si="52"/>
        <v>0.32060850082964126</v>
      </c>
      <c r="U38" s="8">
        <f t="shared" si="53"/>
        <v>5.0284089490038909E-2</v>
      </c>
      <c r="W38" s="8">
        <f t="shared" si="54"/>
        <v>6.3759432472800883</v>
      </c>
      <c r="AA38" s="8">
        <f t="shared" si="55"/>
        <v>0.30168013824438583</v>
      </c>
      <c r="AC38" s="8">
        <f t="shared" si="56"/>
        <v>5.0233523112869126E-2</v>
      </c>
      <c r="AE38" s="8">
        <f t="shared" si="57"/>
        <v>6.0055540513561869</v>
      </c>
    </row>
    <row r="39" spans="3:31" hidden="1" x14ac:dyDescent="0.2">
      <c r="C39" s="8">
        <f t="shared" si="46"/>
        <v>0.67553217669496735</v>
      </c>
      <c r="E39" s="8">
        <f t="shared" si="47"/>
        <v>0.11184016242155775</v>
      </c>
      <c r="G39" s="8">
        <f t="shared" si="48"/>
        <v>6.0401573287124908</v>
      </c>
      <c r="K39" s="8">
        <f t="shared" si="49"/>
        <v>1.4786148450736987</v>
      </c>
      <c r="M39" s="8">
        <f t="shared" si="50"/>
        <v>0.24626326900570383</v>
      </c>
      <c r="O39" s="8">
        <f t="shared" si="51"/>
        <v>6.0042037574001821</v>
      </c>
      <c r="S39" s="8">
        <f t="shared" si="52"/>
        <v>1.0219477079696015</v>
      </c>
      <c r="U39" s="8">
        <f t="shared" si="53"/>
        <v>0.15269242826077953</v>
      </c>
      <c r="W39" s="8">
        <f t="shared" si="54"/>
        <v>6.692851240955072</v>
      </c>
      <c r="AA39" s="8">
        <f t="shared" si="55"/>
        <v>0.99973646824109819</v>
      </c>
      <c r="AC39" s="8">
        <f t="shared" si="56"/>
        <v>0.16565339965601902</v>
      </c>
      <c r="AE39" s="8">
        <f t="shared" si="57"/>
        <v>6.0351098759039123</v>
      </c>
    </row>
    <row r="40" spans="3:31" x14ac:dyDescent="0.2">
      <c r="F40" s="8"/>
      <c r="G40" s="8"/>
      <c r="N40" s="8"/>
      <c r="O40" s="8"/>
      <c r="V40" s="8"/>
      <c r="W40" s="8"/>
      <c r="AD40" s="8"/>
      <c r="AE40" s="8"/>
    </row>
    <row r="41" spans="3:31" x14ac:dyDescent="0.2">
      <c r="F41" s="8" t="s">
        <v>20</v>
      </c>
      <c r="G41" s="8">
        <f>AVERAGE(G34:G39)</f>
        <v>6.05963641679568</v>
      </c>
      <c r="N41" s="8" t="s">
        <v>20</v>
      </c>
      <c r="O41" s="8">
        <f>AVERAGE(O34:O39)</f>
        <v>6.0064744215503714</v>
      </c>
      <c r="V41" s="8" t="s">
        <v>20</v>
      </c>
      <c r="W41" s="8">
        <f>AVERAGE(W34:W39)</f>
        <v>6.5805968471952587</v>
      </c>
      <c r="AD41" s="8" t="s">
        <v>20</v>
      </c>
      <c r="AE41" s="8">
        <f>AVERAGE(AE34:AE39)</f>
        <v>6.0247933629304251</v>
      </c>
    </row>
    <row r="42" spans="3:31" x14ac:dyDescent="0.2">
      <c r="F42" s="8" t="s">
        <v>21</v>
      </c>
      <c r="G42" s="8">
        <f>(G41-6)/5</f>
        <v>1.1927283359135999E-2</v>
      </c>
      <c r="N42" s="8" t="s">
        <v>21</v>
      </c>
      <c r="O42" s="8">
        <f>(O41-6)/5</f>
        <v>1.2948843100742736E-3</v>
      </c>
      <c r="V42" s="8" t="s">
        <v>21</v>
      </c>
      <c r="W42" s="8">
        <f>(W41-6)/5</f>
        <v>0.11611936943905174</v>
      </c>
      <c r="AD42" s="8" t="s">
        <v>21</v>
      </c>
      <c r="AE42" s="8">
        <f>(AE41-6)/5</f>
        <v>4.9586725860850224E-3</v>
      </c>
    </row>
    <row r="43" spans="3:31" x14ac:dyDescent="0.2">
      <c r="F43" s="8" t="s">
        <v>22</v>
      </c>
      <c r="G43" s="47">
        <f>G42/1.24</f>
        <v>9.6187769025290314E-3</v>
      </c>
      <c r="N43" s="8" t="s">
        <v>22</v>
      </c>
      <c r="O43" s="47">
        <f>O42/1.24</f>
        <v>1.0442615403824787E-3</v>
      </c>
      <c r="V43" s="8" t="s">
        <v>22</v>
      </c>
      <c r="W43" s="47">
        <f>W42/1.24</f>
        <v>9.3644652773428816E-2</v>
      </c>
      <c r="AD43" s="8" t="s">
        <v>22</v>
      </c>
      <c r="AE43" s="47">
        <f>AE42/1.24</f>
        <v>3.9989295049072766E-3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3D19-9B4C-F044-9CDD-D005938A0B24}">
  <dimension ref="B3:T33"/>
  <sheetViews>
    <sheetView topLeftCell="N5" zoomScale="125" workbookViewId="0">
      <selection activeCell="J20" sqref="J20"/>
    </sheetView>
  </sheetViews>
  <sheetFormatPr baseColWidth="10" defaultColWidth="8.83203125" defaultRowHeight="15" x14ac:dyDescent="0.2"/>
  <cols>
    <col min="2" max="2" width="16.1640625" customWidth="1"/>
    <col min="3" max="3" width="13.33203125" customWidth="1"/>
    <col min="4" max="4" width="12.6640625" customWidth="1"/>
    <col min="5" max="5" width="15.5" customWidth="1"/>
    <col min="7" max="7" width="16.83203125" customWidth="1"/>
    <col min="8" max="8" width="14.33203125" customWidth="1"/>
    <col min="9" max="9" width="17.83203125" customWidth="1"/>
    <col min="10" max="10" width="19" customWidth="1"/>
    <col min="11" max="11" width="10.33203125" customWidth="1"/>
    <col min="12" max="12" width="12.6640625" customWidth="1"/>
    <col min="13" max="13" width="16.83203125" customWidth="1"/>
    <col min="14" max="14" width="14.6640625" customWidth="1"/>
    <col min="15" max="15" width="17.83203125" customWidth="1"/>
    <col min="17" max="17" width="16.1640625" customWidth="1"/>
    <col min="18" max="18" width="14.33203125" customWidth="1"/>
    <col min="19" max="20" width="16.6640625" customWidth="1"/>
  </cols>
  <sheetData>
    <row r="3" spans="2:20" ht="181" customHeight="1" x14ac:dyDescent="0.2">
      <c r="B3" s="8"/>
      <c r="C3" s="13" t="str">
        <f>B4</f>
        <v>Svi koraci procesa su digitalno zabilježeni, što omogućuje praćenje statusa certifikata u 100 % slučajeva bez dodatnih provjera.</v>
      </c>
      <c r="D3" s="13" t="str">
        <f>B5</f>
        <v>Digitalni zapisi omogućuju naknadnu provjeru u 90 % kontrola, čime se smanjuje potreba za ponovnim pregledima proizvoda.</v>
      </c>
      <c r="E3" s="13" t="str">
        <f>B6</f>
        <v>Organizatori imaju uvid u prijave, status priprema i povratne informacije u realnom vremenu, što smanjuje kašnjenja i nejasnoće u provedbi za oko 35 %.</v>
      </c>
      <c r="G3" s="8"/>
      <c r="H3" s="13" t="str">
        <f>G4</f>
        <v>Svi koraci procesa su digitalno zabilježeni, što omogućuje praćenje statusa certifikata u 100 % slučajeva bez dodatnih provjera.</v>
      </c>
      <c r="I3" s="13" t="str">
        <f>G5</f>
        <v>Digitalni zapisi omogućuju naknadnu provjeru u 90 % kontrola, čime se smanjuje potreba za ponovnim pregledima proizvoda.</v>
      </c>
      <c r="J3" s="13" t="str">
        <f>G6</f>
        <v>Organizatori imaju uvid u prijave, status priprema i povratne informacije u realnom vremenu, što smanjuje kašnjenja i nejasnoće u provedbi za oko 35 %.</v>
      </c>
      <c r="L3" s="8"/>
      <c r="M3" s="13" t="str">
        <f>L4</f>
        <v>Svi koraci procesa su digitalno zabilježeni, što omogućuje praćenje statusa certifikata u 100 % slučajeva bez dodatnih provjera.</v>
      </c>
      <c r="N3" s="13" t="str">
        <f>L5</f>
        <v>Digitalni zapisi omogućuju naknadnu provjeru u 90 % kontrola, čime se smanjuje potreba za ponovnim pregledima proizvoda.</v>
      </c>
      <c r="O3" s="13" t="str">
        <f>L6</f>
        <v>Organizatori imaju uvid u prijave, status priprema i povratne informacije u realnom vremenu, što smanjuje kašnjenja i nejasnoće u provedbi za oko 35 %.</v>
      </c>
      <c r="Q3" s="8"/>
      <c r="R3" s="13" t="str">
        <f>Q4</f>
        <v>Svi koraci procesa su digitalno zabilježeni, što omogućuje praćenje statusa certifikata u 100 % slučajeva bez dodatnih provjera.</v>
      </c>
      <c r="S3" s="13" t="str">
        <f>Q5</f>
        <v>Digitalni zapisi omogućuju naknadnu provjeru u 90 % kontrola, čime se smanjuje potreba za ponovnim pregledima proizvoda.</v>
      </c>
      <c r="T3" s="13" t="str">
        <f>Q6</f>
        <v>Organizatori imaju uvid u prijave, status priprema i povratne informacije u realnom vremenu, što smanjuje kašnjenja i nejasnoće u provedbi za oko 35 %.</v>
      </c>
    </row>
    <row r="4" spans="2:20" ht="134" customHeight="1" x14ac:dyDescent="0.2">
      <c r="B4" s="12" t="s">
        <v>169</v>
      </c>
      <c r="C4" s="8">
        <v>1</v>
      </c>
      <c r="D4" s="8">
        <v>3</v>
      </c>
      <c r="E4" s="8">
        <v>5</v>
      </c>
      <c r="G4" s="13" t="str">
        <f>B4</f>
        <v>Svi koraci procesa su digitalno zabilježeni, što omogućuje praćenje statusa certifikata u 100 % slučajeva bez dodatnih provjera.</v>
      </c>
      <c r="H4" s="8">
        <v>1</v>
      </c>
      <c r="I4" s="20">
        <v>0.2</v>
      </c>
      <c r="J4" s="20">
        <v>0.33333333333333331</v>
      </c>
      <c r="L4" s="13" t="str">
        <f>G4</f>
        <v>Svi koraci procesa su digitalno zabilježeni, što omogućuje praćenje statusa certifikata u 100 % slučajeva bez dodatnih provjera.</v>
      </c>
      <c r="M4" s="8">
        <v>1</v>
      </c>
      <c r="N4" s="20">
        <v>0.5</v>
      </c>
      <c r="O4" s="20">
        <v>0.25</v>
      </c>
      <c r="Q4" s="13" t="str">
        <f>L4</f>
        <v>Svi koraci procesa su digitalno zabilježeni, što omogućuje praćenje statusa certifikata u 100 % slučajeva bez dodatnih provjera.</v>
      </c>
      <c r="R4" s="8">
        <f>GEOMEAN(C4,H4,M4)</f>
        <v>1</v>
      </c>
      <c r="S4" s="8">
        <f t="shared" ref="S4:T6" si="0">GEOMEAN(D4,I4,N4)</f>
        <v>0.66943295008216952</v>
      </c>
      <c r="T4" s="8">
        <f t="shared" si="0"/>
        <v>0.74690079109286078</v>
      </c>
    </row>
    <row r="5" spans="2:20" ht="203" customHeight="1" x14ac:dyDescent="0.2">
      <c r="B5" s="12" t="s">
        <v>170</v>
      </c>
      <c r="C5" s="20">
        <v>0.33333333333333331</v>
      </c>
      <c r="D5" s="8">
        <v>1</v>
      </c>
      <c r="E5" s="8">
        <v>2</v>
      </c>
      <c r="G5" s="13" t="str">
        <f t="shared" ref="G5:G6" si="1">B5</f>
        <v>Digitalni zapisi omogućuju naknadnu provjeru u 90 % kontrola, čime se smanjuje potreba za ponovnim pregledima proizvoda.</v>
      </c>
      <c r="H5" s="8">
        <v>5</v>
      </c>
      <c r="I5" s="8">
        <v>1</v>
      </c>
      <c r="J5" s="8">
        <v>3</v>
      </c>
      <c r="L5" s="13" t="str">
        <f t="shared" ref="L5:L6" si="2">G5</f>
        <v>Digitalni zapisi omogućuju naknadnu provjeru u 90 % kontrola, čime se smanjuje potreba za ponovnim pregledima proizvoda.</v>
      </c>
      <c r="M5" s="20">
        <v>2</v>
      </c>
      <c r="N5" s="8">
        <v>1</v>
      </c>
      <c r="O5" s="20">
        <v>0.33333333333333331</v>
      </c>
      <c r="Q5" s="13" t="str">
        <f t="shared" ref="Q5:Q6" si="3">L5</f>
        <v>Digitalni zapisi omogućuju naknadnu provjeru u 90 % kontrola, čime se smanjuje potreba za ponovnim pregledima proizvoda.</v>
      </c>
      <c r="R5" s="8">
        <f t="shared" ref="R5:R6" si="4">GEOMEAN(C5,H5,M5)</f>
        <v>1.4938015821857216</v>
      </c>
      <c r="S5" s="8">
        <f t="shared" si="0"/>
        <v>1</v>
      </c>
      <c r="T5" s="8">
        <f t="shared" si="0"/>
        <v>1.2599210498948732</v>
      </c>
    </row>
    <row r="6" spans="2:20" ht="172" customHeight="1" x14ac:dyDescent="0.2">
      <c r="B6" s="12" t="s">
        <v>171</v>
      </c>
      <c r="C6" s="20">
        <v>0.2</v>
      </c>
      <c r="D6" s="20">
        <v>0.5</v>
      </c>
      <c r="E6" s="8">
        <v>1</v>
      </c>
      <c r="G6" s="13" t="str">
        <f t="shared" si="1"/>
        <v>Organizatori imaju uvid u prijave, status priprema i povratne informacije u realnom vremenu, što smanjuje kašnjenja i nejasnoće u provedbi za oko 35 %.</v>
      </c>
      <c r="H6" s="8">
        <v>3</v>
      </c>
      <c r="I6" s="20">
        <v>0.33333333333333331</v>
      </c>
      <c r="J6" s="8">
        <v>1</v>
      </c>
      <c r="L6" s="13" t="str">
        <f t="shared" si="2"/>
        <v>Organizatori imaju uvid u prijave, status priprema i povratne informacije u realnom vremenu, što smanjuje kašnjenja i nejasnoće u provedbi za oko 35 %.</v>
      </c>
      <c r="M6" s="20">
        <v>4</v>
      </c>
      <c r="N6" s="20">
        <v>3</v>
      </c>
      <c r="O6" s="8">
        <v>1</v>
      </c>
      <c r="Q6" s="13" t="str">
        <f t="shared" si="3"/>
        <v>Organizatori imaju uvid u prijave, status priprema i povratne informacije u realnom vremenu, što smanjuje kašnjenja i nejasnoće u provedbi za oko 35 %.</v>
      </c>
      <c r="R6" s="8">
        <f t="shared" si="4"/>
        <v>1.338865900164339</v>
      </c>
      <c r="S6" s="8">
        <f t="shared" si="0"/>
        <v>0.79370052598409979</v>
      </c>
      <c r="T6" s="8">
        <f t="shared" si="0"/>
        <v>1</v>
      </c>
    </row>
    <row r="8" spans="2:20" hidden="1" x14ac:dyDescent="0.2">
      <c r="C8" s="8">
        <f>SUM(C4:C6)</f>
        <v>1.5333333333333332</v>
      </c>
      <c r="D8" s="8">
        <f t="shared" ref="D8:E8" si="5">SUM(D4:D6)</f>
        <v>4.5</v>
      </c>
      <c r="E8" s="8">
        <f t="shared" si="5"/>
        <v>8</v>
      </c>
      <c r="H8" s="8">
        <f>SUM(H4:H6)</f>
        <v>9</v>
      </c>
      <c r="I8" s="8">
        <f t="shared" ref="I8:J8" si="6">SUM(I4:I6)</f>
        <v>1.5333333333333332</v>
      </c>
      <c r="J8" s="8">
        <f t="shared" si="6"/>
        <v>4.3333333333333339</v>
      </c>
      <c r="M8" s="8">
        <f>SUM(M4:M6)</f>
        <v>7</v>
      </c>
      <c r="N8" s="8">
        <f t="shared" ref="N8:O8" si="7">SUM(N4:N6)</f>
        <v>4.5</v>
      </c>
      <c r="O8" s="8">
        <f t="shared" si="7"/>
        <v>1.5833333333333333</v>
      </c>
      <c r="R8" s="8">
        <f>SUM(R4:R6)</f>
        <v>3.8326674823500602</v>
      </c>
      <c r="S8" s="8">
        <f t="shared" ref="S8:T8" si="8">SUM(S4:S6)</f>
        <v>2.4631334760662691</v>
      </c>
      <c r="T8" s="8">
        <f t="shared" si="8"/>
        <v>3.0068218409877341</v>
      </c>
    </row>
    <row r="9" spans="2:20" hidden="1" x14ac:dyDescent="0.2"/>
    <row r="10" spans="2:20" hidden="1" x14ac:dyDescent="0.2"/>
    <row r="11" spans="2:20" hidden="1" x14ac:dyDescent="0.2">
      <c r="C11" s="8">
        <f>C4/C$8</f>
        <v>0.65217391304347827</v>
      </c>
      <c r="D11" s="8">
        <f>D4/D$8</f>
        <v>0.66666666666666663</v>
      </c>
      <c r="E11" s="8">
        <f>E4/E$8</f>
        <v>0.625</v>
      </c>
      <c r="H11" s="8">
        <f>H4/H$8</f>
        <v>0.1111111111111111</v>
      </c>
      <c r="I11" s="8">
        <f>I4/I$8</f>
        <v>0.13043478260869568</v>
      </c>
      <c r="J11" s="8">
        <f>J4/J$8</f>
        <v>7.6923076923076913E-2</v>
      </c>
      <c r="M11" s="8">
        <f>M4/M$8</f>
        <v>0.14285714285714285</v>
      </c>
      <c r="N11" s="8">
        <f>N4/N$8</f>
        <v>0.1111111111111111</v>
      </c>
      <c r="O11" s="8">
        <f>O4/O$8</f>
        <v>0.15789473684210528</v>
      </c>
      <c r="R11" s="8">
        <f>R4/R$8</f>
        <v>0.26091488620005049</v>
      </c>
      <c r="S11" s="8">
        <f>S4/S$8</f>
        <v>0.27178102875337595</v>
      </c>
      <c r="T11" s="8">
        <f>T4/T$8</f>
        <v>0.24840207720704383</v>
      </c>
    </row>
    <row r="12" spans="2:20" hidden="1" x14ac:dyDescent="0.2">
      <c r="C12" s="8">
        <f t="shared" ref="C12:E13" si="9">C5/C$8</f>
        <v>0.21739130434782608</v>
      </c>
      <c r="D12" s="8">
        <f t="shared" si="9"/>
        <v>0.22222222222222221</v>
      </c>
      <c r="E12" s="8">
        <f t="shared" si="9"/>
        <v>0.25</v>
      </c>
      <c r="H12" s="8">
        <f t="shared" ref="H12:J13" si="10">H5/H$8</f>
        <v>0.55555555555555558</v>
      </c>
      <c r="I12" s="8">
        <f t="shared" si="10"/>
        <v>0.65217391304347827</v>
      </c>
      <c r="J12" s="8">
        <f t="shared" si="10"/>
        <v>0.69230769230769218</v>
      </c>
      <c r="M12" s="8">
        <f t="shared" ref="M12:O13" si="11">M5/M$8</f>
        <v>0.2857142857142857</v>
      </c>
      <c r="N12" s="8">
        <f t="shared" si="11"/>
        <v>0.22222222222222221</v>
      </c>
      <c r="O12" s="8">
        <f t="shared" si="11"/>
        <v>0.21052631578947367</v>
      </c>
      <c r="R12" s="8">
        <f t="shared" ref="R12:T13" si="12">R5/R$8</f>
        <v>0.38975506982144292</v>
      </c>
      <c r="S12" s="8">
        <f t="shared" si="12"/>
        <v>0.40598693075985609</v>
      </c>
      <c r="T12" s="8">
        <f t="shared" si="12"/>
        <v>0.41902085209045575</v>
      </c>
    </row>
    <row r="13" spans="2:20" hidden="1" x14ac:dyDescent="0.2">
      <c r="C13" s="8">
        <f t="shared" si="9"/>
        <v>0.13043478260869568</v>
      </c>
      <c r="D13" s="8">
        <f t="shared" si="9"/>
        <v>0.1111111111111111</v>
      </c>
      <c r="E13" s="8">
        <f t="shared" si="9"/>
        <v>0.125</v>
      </c>
      <c r="H13" s="8">
        <f t="shared" si="10"/>
        <v>0.33333333333333331</v>
      </c>
      <c r="I13" s="8">
        <f t="shared" si="10"/>
        <v>0.21739130434782608</v>
      </c>
      <c r="J13" s="8">
        <f t="shared" si="10"/>
        <v>0.23076923076923073</v>
      </c>
      <c r="M13" s="8">
        <f t="shared" si="11"/>
        <v>0.5714285714285714</v>
      </c>
      <c r="N13" s="8">
        <f t="shared" si="11"/>
        <v>0.66666666666666663</v>
      </c>
      <c r="O13" s="8">
        <f t="shared" si="11"/>
        <v>0.63157894736842113</v>
      </c>
      <c r="R13" s="8">
        <f t="shared" si="12"/>
        <v>0.3493300439785067</v>
      </c>
      <c r="S13" s="8">
        <f t="shared" si="12"/>
        <v>0.32223204048676807</v>
      </c>
      <c r="T13" s="8">
        <f t="shared" si="12"/>
        <v>0.33257707070250037</v>
      </c>
    </row>
    <row r="14" spans="2:20" hidden="1" x14ac:dyDescent="0.2"/>
    <row r="15" spans="2:20" x14ac:dyDescent="0.2">
      <c r="D15" s="8" t="str">
        <f>B4</f>
        <v>Svi koraci procesa su digitalno zabilježeni, što omogućuje praćenje statusa certifikata u 100 % slučajeva bez dodatnih provjera.</v>
      </c>
      <c r="E15" s="8">
        <f>AVERAGE(C11:E11)</f>
        <v>0.64794685990338163</v>
      </c>
      <c r="I15" s="8" t="str">
        <f>G4</f>
        <v>Svi koraci procesa su digitalno zabilježeni, što omogućuje praćenje statusa certifikata u 100 % slučajeva bez dodatnih provjera.</v>
      </c>
      <c r="J15" s="8">
        <f>AVERAGE(H11:J11)</f>
        <v>0.1061563235476279</v>
      </c>
      <c r="N15" s="8" t="str">
        <f>L4</f>
        <v>Svi koraci procesa su digitalno zabilježeni, što omogućuje praćenje statusa certifikata u 100 % slučajeva bez dodatnih provjera.</v>
      </c>
      <c r="O15" s="8">
        <f>AVERAGE(M11:O11)</f>
        <v>0.1372876636034531</v>
      </c>
      <c r="S15" s="8" t="str">
        <f>Q4</f>
        <v>Svi koraci procesa su digitalno zabilježeni, što omogućuje praćenje statusa certifikata u 100 % slučajeva bez dodatnih provjera.</v>
      </c>
      <c r="T15" s="11">
        <f>AVERAGE(R11:T11)</f>
        <v>0.26036599738682348</v>
      </c>
    </row>
    <row r="16" spans="2:20" x14ac:dyDescent="0.2">
      <c r="D16" s="8" t="str">
        <f t="shared" ref="D16:D17" si="13">B5</f>
        <v>Digitalni zapisi omogućuju naknadnu provjeru u 90 % kontrola, čime se smanjuje potreba za ponovnim pregledima proizvoda.</v>
      </c>
      <c r="E16" s="8">
        <f t="shared" ref="E16:E17" si="14">AVERAGE(C12:E12)</f>
        <v>0.22987117552334943</v>
      </c>
      <c r="I16" s="8" t="str">
        <f t="shared" ref="I16:I17" si="15">G5</f>
        <v>Digitalni zapisi omogućuju naknadnu provjeru u 90 % kontrola, čime se smanjuje potreba za ponovnim pregledima proizvoda.</v>
      </c>
      <c r="J16" s="8">
        <f t="shared" ref="J16:J17" si="16">AVERAGE(H12:J12)</f>
        <v>0.63334572030224201</v>
      </c>
      <c r="N16" s="8" t="str">
        <f t="shared" ref="N16:N17" si="17">L5</f>
        <v>Digitalni zapisi omogućuju naknadnu provjeru u 90 % kontrola, čime se smanjuje potreba za ponovnim pregledima proizvoda.</v>
      </c>
      <c r="O16" s="8">
        <f t="shared" ref="O16:O17" si="18">AVERAGE(M12:O12)</f>
        <v>0.23948760790866053</v>
      </c>
      <c r="S16" s="8" t="str">
        <f t="shared" ref="S16:S17" si="19">Q5</f>
        <v>Digitalni zapisi omogućuju naknadnu provjeru u 90 % kontrola, čime se smanjuje potreba za ponovnim pregledima proizvoda.</v>
      </c>
      <c r="T16" s="11">
        <f t="shared" ref="T16:T17" si="20">AVERAGE(R12:T12)</f>
        <v>0.40492095089058489</v>
      </c>
    </row>
    <row r="17" spans="2:20" x14ac:dyDescent="0.2">
      <c r="D17" s="8" t="str">
        <f t="shared" si="13"/>
        <v>Organizatori imaju uvid u prijave, status priprema i povratne informacije u realnom vremenu, što smanjuje kašnjenja i nejasnoće u provedbi za oko 35 %.</v>
      </c>
      <c r="E17" s="8">
        <f t="shared" si="14"/>
        <v>0.12218196457326892</v>
      </c>
      <c r="I17" s="8" t="str">
        <f t="shared" si="15"/>
        <v>Organizatori imaju uvid u prijave, status priprema i povratne informacije u realnom vremenu, što smanjuje kašnjenja i nejasnoće u provedbi za oko 35 %.</v>
      </c>
      <c r="J17" s="8">
        <f t="shared" si="16"/>
        <v>0.26049795615013005</v>
      </c>
      <c r="N17" s="8" t="str">
        <f t="shared" si="17"/>
        <v>Organizatori imaju uvid u prijave, status priprema i povratne informacije u realnom vremenu, što smanjuje kašnjenja i nejasnoće u provedbi za oko 35 %.</v>
      </c>
      <c r="O17" s="8">
        <f t="shared" si="18"/>
        <v>0.62322472848788646</v>
      </c>
      <c r="S17" s="8" t="str">
        <f t="shared" si="19"/>
        <v>Organizatori imaju uvid u prijave, status priprema i povratne informacije u realnom vremenu, što smanjuje kašnjenja i nejasnoće u provedbi za oko 35 %.</v>
      </c>
      <c r="T17" s="11">
        <f t="shared" si="20"/>
        <v>0.33471305172259175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0.64794685990338163</v>
      </c>
      <c r="D21" s="8">
        <f>D4*E$16</f>
        <v>0.68961352657004826</v>
      </c>
      <c r="E21" s="8">
        <f>E4*E$17</f>
        <v>0.61090982286634465</v>
      </c>
      <c r="H21" s="8">
        <f>H4*J$15</f>
        <v>0.1061563235476279</v>
      </c>
      <c r="I21" s="8">
        <f>I4*J$16</f>
        <v>0.12666914406044841</v>
      </c>
      <c r="J21" s="8">
        <f>J4*J$17</f>
        <v>8.6832652050043341E-2</v>
      </c>
      <c r="M21" s="8">
        <f>M4*O$15</f>
        <v>0.1372876636034531</v>
      </c>
      <c r="N21" s="8">
        <f>N4*O$16</f>
        <v>0.11974380395433026</v>
      </c>
      <c r="O21" s="8">
        <f>O4*O$17</f>
        <v>0.15580618212197161</v>
      </c>
      <c r="R21" s="8">
        <f>R4*T$15</f>
        <v>0.26036599738682348</v>
      </c>
      <c r="S21" s="8">
        <f>S4*T$16</f>
        <v>0.27106742670476153</v>
      </c>
      <c r="T21" s="8">
        <f>T4*T$17</f>
        <v>0.2499974431207094</v>
      </c>
    </row>
    <row r="22" spans="2:20" hidden="1" x14ac:dyDescent="0.2">
      <c r="C22" s="8">
        <f t="shared" ref="C22:C23" si="21">C5*E$15</f>
        <v>0.21598228663446054</v>
      </c>
      <c r="D22" s="8">
        <f t="shared" ref="D22:D23" si="22">D5*E$16</f>
        <v>0.22987117552334943</v>
      </c>
      <c r="E22" s="8">
        <f t="shared" ref="E22:E23" si="23">E5*E$17</f>
        <v>0.24436392914653784</v>
      </c>
      <c r="H22" s="8">
        <f t="shared" ref="H22:H23" si="24">H5*J$15</f>
        <v>0.53078161773813948</v>
      </c>
      <c r="I22" s="8">
        <f t="shared" ref="I22:I23" si="25">I5*J$16</f>
        <v>0.63334572030224201</v>
      </c>
      <c r="J22" s="8">
        <f t="shared" ref="J22:J23" si="26">J5*J$17</f>
        <v>0.78149386845039015</v>
      </c>
      <c r="M22" s="8">
        <f t="shared" ref="M22:M23" si="27">M5*O$15</f>
        <v>0.27457532720690619</v>
      </c>
      <c r="N22" s="8">
        <f t="shared" ref="N22:N23" si="28">N5*O$16</f>
        <v>0.23948760790866053</v>
      </c>
      <c r="O22" s="8">
        <f t="shared" ref="O22:O23" si="29">O5*O$17</f>
        <v>0.20774157616262881</v>
      </c>
      <c r="R22" s="8">
        <f t="shared" ref="R22:R23" si="30">R5*T$15</f>
        <v>0.38893513884380038</v>
      </c>
      <c r="S22" s="8">
        <f t="shared" ref="S22:S23" si="31">S5*T$16</f>
        <v>0.40492095089058489</v>
      </c>
      <c r="T22" s="8">
        <f t="shared" ref="T22:T23" si="32">T5*T$17</f>
        <v>0.42171201953984477</v>
      </c>
    </row>
    <row r="23" spans="2:20" hidden="1" x14ac:dyDescent="0.2">
      <c r="C23" s="8">
        <f t="shared" si="21"/>
        <v>0.12958937198067633</v>
      </c>
      <c r="D23" s="8">
        <f t="shared" si="22"/>
        <v>0.11493558776167472</v>
      </c>
      <c r="E23" s="8">
        <f t="shared" si="23"/>
        <v>0.12218196457326892</v>
      </c>
      <c r="H23" s="8">
        <f t="shared" si="24"/>
        <v>0.31846897064288371</v>
      </c>
      <c r="I23" s="8">
        <f t="shared" si="25"/>
        <v>0.21111524010074734</v>
      </c>
      <c r="J23" s="8">
        <f t="shared" si="26"/>
        <v>0.26049795615013005</v>
      </c>
      <c r="M23" s="8">
        <f t="shared" si="27"/>
        <v>0.54915065441381239</v>
      </c>
      <c r="N23" s="8">
        <f t="shared" si="28"/>
        <v>0.71846282372598158</v>
      </c>
      <c r="O23" s="8">
        <f t="shared" si="29"/>
        <v>0.62322472848788646</v>
      </c>
      <c r="R23" s="8">
        <f t="shared" si="30"/>
        <v>0.34859515546349534</v>
      </c>
      <c r="S23" s="8">
        <f t="shared" si="31"/>
        <v>0.32138597170383909</v>
      </c>
      <c r="T23" s="8">
        <f t="shared" si="32"/>
        <v>0.33471305172259175</v>
      </c>
    </row>
    <row r="24" spans="2:20" hidden="1" x14ac:dyDescent="0.2"/>
    <row r="25" spans="2:20" hidden="1" x14ac:dyDescent="0.2">
      <c r="C25" s="8">
        <f>SUM(C21:E21)</f>
        <v>1.9484702093397748</v>
      </c>
      <c r="D25" s="8">
        <f>SUM(C22:E22)</f>
        <v>0.69021739130434778</v>
      </c>
      <c r="E25" s="8">
        <f>SUM(C23:E23)</f>
        <v>0.36670692431561996</v>
      </c>
      <c r="H25" s="8">
        <f>SUM(H21:J21)</f>
        <v>0.31965811965811963</v>
      </c>
      <c r="I25" s="8">
        <f>SUM(H22:J22)</f>
        <v>1.9456212064907716</v>
      </c>
      <c r="J25" s="8">
        <f>SUM(H23:J23)</f>
        <v>0.7900821668937611</v>
      </c>
      <c r="M25" s="8">
        <f>SUM(M21:O21)</f>
        <v>0.412837649679755</v>
      </c>
      <c r="N25" s="8">
        <f>SUM(M22:O22)</f>
        <v>0.72180451127819556</v>
      </c>
      <c r="O25" s="8">
        <f>SUM(M23:O23)</f>
        <v>1.8908382066276803</v>
      </c>
      <c r="R25" s="8">
        <f>SUM(R21:T21)</f>
        <v>0.78143086721229438</v>
      </c>
      <c r="S25" s="8">
        <f>SUM(R22:T22)</f>
        <v>1.2155681092742301</v>
      </c>
      <c r="T25" s="8">
        <f>SUM(R23:T23)</f>
        <v>1.0046941788899262</v>
      </c>
    </row>
    <row r="26" spans="2:20" hidden="1" x14ac:dyDescent="0.2"/>
    <row r="27" spans="2:20" hidden="1" x14ac:dyDescent="0.2">
      <c r="C27" s="8">
        <f>E15</f>
        <v>0.64794685990338163</v>
      </c>
      <c r="D27" s="8">
        <f>E16</f>
        <v>0.22987117552334943</v>
      </c>
      <c r="E27" s="8">
        <f>E17</f>
        <v>0.12218196457326892</v>
      </c>
      <c r="H27" s="8">
        <f>J15</f>
        <v>0.1061563235476279</v>
      </c>
      <c r="I27" s="8">
        <f>J16</f>
        <v>0.63334572030224201</v>
      </c>
      <c r="J27" s="8">
        <f>J17</f>
        <v>0.26049795615013005</v>
      </c>
      <c r="M27" s="8">
        <f>O15</f>
        <v>0.1372876636034531</v>
      </c>
      <c r="N27" s="8">
        <f>O16</f>
        <v>0.23948760790866053</v>
      </c>
      <c r="O27" s="8">
        <f>O17</f>
        <v>0.62322472848788646</v>
      </c>
      <c r="R27" s="8">
        <f>T15</f>
        <v>0.26036599738682348</v>
      </c>
      <c r="S27" s="8">
        <f>T16</f>
        <v>0.40492095089058489</v>
      </c>
      <c r="T27" s="8">
        <f>T17</f>
        <v>0.33471305172259175</v>
      </c>
    </row>
    <row r="28" spans="2:20" hidden="1" x14ac:dyDescent="0.2"/>
    <row r="29" spans="2:20" hidden="1" x14ac:dyDescent="0.2">
      <c r="C29" s="8">
        <f>C25/C27</f>
        <v>3.0071450761105938</v>
      </c>
      <c r="D29" s="8">
        <f t="shared" ref="D29:E29" si="33">D25/D27</f>
        <v>3.0026269702276704</v>
      </c>
      <c r="E29" s="8">
        <f t="shared" si="33"/>
        <v>3.0013179571663922</v>
      </c>
      <c r="H29" s="8">
        <f>H25/H27</f>
        <v>3.0112018669778293</v>
      </c>
      <c r="I29" s="8">
        <f t="shared" ref="I29:J29" si="34">I25/I27</f>
        <v>3.0719734011343633</v>
      </c>
      <c r="J29" s="8">
        <f t="shared" si="34"/>
        <v>3.0329687747662071</v>
      </c>
      <c r="M29" s="8">
        <f>M25/M27</f>
        <v>3.0070993914807302</v>
      </c>
      <c r="N29" s="8">
        <f t="shared" ref="N29:O29" si="35">N25/N27</f>
        <v>3.0139534883720933</v>
      </c>
      <c r="O29" s="8">
        <f t="shared" si="35"/>
        <v>3.0339588918677385</v>
      </c>
      <c r="R29" s="8">
        <f>R25/R27</f>
        <v>3.001278488954644</v>
      </c>
      <c r="S29" s="8">
        <f t="shared" ref="S29:T29" si="36">S25/S27</f>
        <v>3.0019886760630792</v>
      </c>
      <c r="T29" s="8">
        <f t="shared" si="36"/>
        <v>3.0016582075879459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3.0036966678348858</v>
      </c>
      <c r="I31" s="8" t="s">
        <v>20</v>
      </c>
      <c r="J31" s="8">
        <f>AVERAGE(H29:J29)</f>
        <v>3.0387146809594667</v>
      </c>
      <c r="N31" s="8" t="s">
        <v>20</v>
      </c>
      <c r="O31" s="8">
        <f>AVERAGE(M29:O29)</f>
        <v>3.0183372572401872</v>
      </c>
      <c r="S31" s="8" t="s">
        <v>20</v>
      </c>
      <c r="T31" s="8">
        <f>AVERAGE(R29:T29)</f>
        <v>3.0016417908685562</v>
      </c>
    </row>
    <row r="32" spans="2:20" hidden="1" x14ac:dyDescent="0.2">
      <c r="D32" s="8" t="s">
        <v>21</v>
      </c>
      <c r="E32" s="8">
        <f>(E31-3)/2</f>
        <v>1.8483339174428792E-3</v>
      </c>
      <c r="I32" s="8" t="s">
        <v>21</v>
      </c>
      <c r="J32" s="8">
        <f>(J31-3)/2</f>
        <v>1.9357340479733365E-2</v>
      </c>
      <c r="N32" s="8" t="s">
        <v>21</v>
      </c>
      <c r="O32" s="8">
        <f>(O31-3)/2</f>
        <v>9.1686286200935996E-3</v>
      </c>
      <c r="S32" s="8" t="s">
        <v>21</v>
      </c>
      <c r="T32" s="8">
        <f>(T31-3)/2</f>
        <v>8.2089543427810163E-4</v>
      </c>
    </row>
    <row r="33" spans="4:20" x14ac:dyDescent="0.2">
      <c r="D33" s="8" t="s">
        <v>22</v>
      </c>
      <c r="E33" s="8">
        <f>E32/0.52</f>
        <v>3.5544883027747677E-3</v>
      </c>
      <c r="I33" s="8" t="s">
        <v>22</v>
      </c>
      <c r="J33" s="8">
        <f>J32/0.52</f>
        <v>3.722565476871801E-2</v>
      </c>
      <c r="N33" s="8" t="s">
        <v>22</v>
      </c>
      <c r="O33" s="8">
        <f>O32/0.52</f>
        <v>1.7631978115564613E-2</v>
      </c>
      <c r="S33" s="8" t="s">
        <v>22</v>
      </c>
      <c r="T33" s="8">
        <f>T32/0.52</f>
        <v>1.5786450659194262E-3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B96C-4196-1440-A01E-A9F140801D24}">
  <dimension ref="A2:U33"/>
  <sheetViews>
    <sheetView zoomScale="75" workbookViewId="0">
      <selection activeCell="J20" sqref="J20"/>
    </sheetView>
  </sheetViews>
  <sheetFormatPr baseColWidth="10" defaultColWidth="8.83203125" defaultRowHeight="15" x14ac:dyDescent="0.2"/>
  <cols>
    <col min="2" max="2" width="14.5" customWidth="1"/>
    <col min="3" max="20" width="19.5" customWidth="1"/>
  </cols>
  <sheetData>
    <row r="2" spans="1:21" ht="33" customHeight="1" x14ac:dyDescent="0.2"/>
    <row r="3" spans="1:21" ht="146" customHeight="1" x14ac:dyDescent="0.2">
      <c r="A3" s="33"/>
      <c r="B3" s="13"/>
      <c r="C3" s="13" t="str">
        <f>B4</f>
        <v>Automatsko izdavanje certifikata i digitalna dokumentacija smanjuju administrativne zadatke zaposlenika za oko 60 % u odnosu na ručni postupak.</v>
      </c>
      <c r="D3" s="13" t="str">
        <f>B5</f>
        <v>Uklanjanjem ručnih izvještaja i priprema za terenske kontrole, administrativno opterećenje zaposlenika smanjuje se za približno 40 %.</v>
      </c>
      <c r="E3" s="13" t="str">
        <f>B6</f>
        <v>Digitalna evidencija sudionika i automatizirani obrasci smanjuju administrativne zadatke u fazi pripreme za približno 30 %, iako provedba aktivnosti ostaje fizička.</v>
      </c>
      <c r="F3" s="33"/>
      <c r="G3" s="13"/>
      <c r="H3" s="13" t="str">
        <f>G4</f>
        <v>Automatsko izdavanje certifikata i digitalna dokumentacija smanjuju administrativne zadatke zaposlenika za oko 60 % u odnosu na ručni postupak.</v>
      </c>
      <c r="I3" s="13" t="str">
        <f>G5</f>
        <v>Uklanjanjem ručnih izvještaja i priprema za terenske kontrole, administrativno opterećenje zaposlenika smanjuje se za približno 40 %.</v>
      </c>
      <c r="J3" s="13" t="str">
        <f>G6</f>
        <v>Digitalna evidencija sudionika i automatizirani obrasci smanjuju administrativne zadatke u fazi pripreme za približno 30 %, iako provedba aktivnosti ostaje fizička.</v>
      </c>
      <c r="K3" s="33"/>
      <c r="L3" s="13"/>
      <c r="M3" s="13" t="str">
        <f>L4</f>
        <v>Automatsko izdavanje certifikata i digitalna dokumentacija smanjuju administrativne zadatke zaposlenika za oko 60 % u odnosu na ručni postupak.</v>
      </c>
      <c r="N3" s="13" t="str">
        <f>L5</f>
        <v>Uklanjanjem ručnih izvještaja i priprema za terenske kontrole, administrativno opterećenje zaposlenika smanjuje se za približno 40 %.</v>
      </c>
      <c r="O3" s="13" t="str">
        <f>L6</f>
        <v>Digitalna evidencija sudionika i automatizirani obrasci smanjuju administrativne zadatke u fazi pripreme za približno 30 %, iako provedba aktivnosti ostaje fizička.</v>
      </c>
      <c r="P3" s="33"/>
      <c r="Q3" s="13"/>
      <c r="R3" s="13" t="str">
        <f>Q4</f>
        <v>Automatsko izdavanje certifikata i digitalna dokumentacija smanjuju administrativne zadatke zaposlenika za oko 60 % u odnosu na ručni postupak.</v>
      </c>
      <c r="S3" s="13" t="str">
        <f>Q5</f>
        <v>Uklanjanjem ručnih izvještaja i priprema za terenske kontrole, administrativno opterećenje zaposlenika smanjuje se za približno 40 %.</v>
      </c>
      <c r="T3" s="13" t="str">
        <f>Q6</f>
        <v>Digitalna evidencija sudionika i automatizirani obrasci smanjuju administrativne zadatke u fazi pripreme za približno 30 %, iako provedba aktivnosti ostaje fizička.</v>
      </c>
      <c r="U3" s="33"/>
    </row>
    <row r="4" spans="1:21" ht="172" customHeight="1" x14ac:dyDescent="0.2">
      <c r="A4" s="33"/>
      <c r="B4" s="12" t="s">
        <v>172</v>
      </c>
      <c r="C4" s="13">
        <v>1</v>
      </c>
      <c r="D4" s="13">
        <v>2</v>
      </c>
      <c r="E4" s="13">
        <v>4</v>
      </c>
      <c r="F4" s="33"/>
      <c r="G4" s="13" t="str">
        <f>B4</f>
        <v>Automatsko izdavanje certifikata i digitalna dokumentacija smanjuju administrativne zadatke zaposlenika za oko 60 % u odnosu na ručni postupak.</v>
      </c>
      <c r="H4" s="13">
        <v>1</v>
      </c>
      <c r="I4" s="13">
        <v>1</v>
      </c>
      <c r="J4" s="13">
        <v>5</v>
      </c>
      <c r="K4" s="33"/>
      <c r="L4" s="13" t="str">
        <f>G4</f>
        <v>Automatsko izdavanje certifikata i digitalna dokumentacija smanjuju administrativne zadatke zaposlenika za oko 60 % u odnosu na ručni postupak.</v>
      </c>
      <c r="M4" s="13">
        <v>1</v>
      </c>
      <c r="N4" s="13">
        <v>3</v>
      </c>
      <c r="O4" s="13">
        <v>5</v>
      </c>
      <c r="P4" s="33"/>
      <c r="Q4" s="13" t="str">
        <f>L4</f>
        <v>Automatsko izdavanje certifikata i digitalna dokumentacija smanjuju administrativne zadatke zaposlenika za oko 60 % u odnosu na ručni postupak.</v>
      </c>
      <c r="R4" s="13">
        <f>GEOMEAN(C4,H4,M4)</f>
        <v>1</v>
      </c>
      <c r="S4" s="13">
        <f t="shared" ref="S4:T6" si="0">GEOMEAN(D4,I4,N4)</f>
        <v>1.8171205928321397</v>
      </c>
      <c r="T4" s="13">
        <f t="shared" si="0"/>
        <v>4.6415888336127793</v>
      </c>
      <c r="U4" s="33"/>
    </row>
    <row r="5" spans="1:21" ht="141" customHeight="1" x14ac:dyDescent="0.2">
      <c r="A5" s="33"/>
      <c r="B5" s="12" t="s">
        <v>173</v>
      </c>
      <c r="C5" s="34">
        <v>0.5</v>
      </c>
      <c r="D5" s="13">
        <v>1</v>
      </c>
      <c r="E5" s="13">
        <v>2</v>
      </c>
      <c r="F5" s="33"/>
      <c r="G5" s="13" t="str">
        <f t="shared" ref="G5:G6" si="1">B5</f>
        <v>Uklanjanjem ručnih izvještaja i priprema za terenske kontrole, administrativno opterećenje zaposlenika smanjuje se za približno 40 %.</v>
      </c>
      <c r="H5" s="13">
        <v>1</v>
      </c>
      <c r="I5" s="13">
        <v>1</v>
      </c>
      <c r="J5" s="13">
        <v>5</v>
      </c>
      <c r="K5" s="33"/>
      <c r="L5" s="13" t="str">
        <f t="shared" ref="L5:L6" si="2">G5</f>
        <v>Uklanjanjem ručnih izvještaja i priprema za terenske kontrole, administrativno opterećenje zaposlenika smanjuje se za približno 40 %.</v>
      </c>
      <c r="M5" s="34">
        <v>0.33333333333333331</v>
      </c>
      <c r="N5" s="13">
        <v>1</v>
      </c>
      <c r="O5" s="13">
        <v>2</v>
      </c>
      <c r="P5" s="33"/>
      <c r="Q5" s="13" t="str">
        <f t="shared" ref="Q5:Q6" si="3">L5</f>
        <v>Uklanjanjem ručnih izvještaja i priprema za terenske kontrole, administrativno opterećenje zaposlenika smanjuje se za približno 40 %.</v>
      </c>
      <c r="R5" s="13">
        <f t="shared" ref="R5:R6" si="4">GEOMEAN(C5,H5,M5)</f>
        <v>0.55032120814910446</v>
      </c>
      <c r="S5" s="13">
        <f t="shared" si="0"/>
        <v>1</v>
      </c>
      <c r="T5" s="13">
        <f t="shared" si="0"/>
        <v>2.7144176165949068</v>
      </c>
      <c r="U5" s="33"/>
    </row>
    <row r="6" spans="1:21" ht="193" customHeight="1" x14ac:dyDescent="0.2">
      <c r="A6" s="33"/>
      <c r="B6" s="12" t="s">
        <v>174</v>
      </c>
      <c r="C6" s="34">
        <v>0.25</v>
      </c>
      <c r="D6" s="34">
        <v>0.5</v>
      </c>
      <c r="E6" s="13">
        <v>1</v>
      </c>
      <c r="F6" s="33"/>
      <c r="G6" s="13" t="str">
        <f t="shared" si="1"/>
        <v>Digitalna evidencija sudionika i automatizirani obrasci smanjuju administrativne zadatke u fazi pripreme za približno 30 %, iako provedba aktivnosti ostaje fizička.</v>
      </c>
      <c r="H6" s="34">
        <v>0.2</v>
      </c>
      <c r="I6" s="34">
        <v>0.2</v>
      </c>
      <c r="J6" s="13">
        <v>1</v>
      </c>
      <c r="K6" s="33"/>
      <c r="L6" s="13" t="str">
        <f t="shared" si="2"/>
        <v>Digitalna evidencija sudionika i automatizirani obrasci smanjuju administrativne zadatke u fazi pripreme za približno 30 %, iako provedba aktivnosti ostaje fizička.</v>
      </c>
      <c r="M6" s="34">
        <v>0.2</v>
      </c>
      <c r="N6" s="34">
        <v>0.5</v>
      </c>
      <c r="O6" s="13">
        <v>1</v>
      </c>
      <c r="P6" s="33"/>
      <c r="Q6" s="13" t="str">
        <f t="shared" si="3"/>
        <v>Digitalna evidencija sudionika i automatizirani obrasci smanjuju administrativne zadatke u fazi pripreme za približno 30 %, iako provedba aktivnosti ostaje fizička.</v>
      </c>
      <c r="R6" s="13">
        <f t="shared" si="4"/>
        <v>0.21544346900318839</v>
      </c>
      <c r="S6" s="13">
        <f t="shared" si="0"/>
        <v>0.36840314986403866</v>
      </c>
      <c r="T6" s="13">
        <f t="shared" si="0"/>
        <v>1</v>
      </c>
      <c r="U6" s="33"/>
    </row>
    <row r="7" spans="1:21" x14ac:dyDescent="0.2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idden="1" x14ac:dyDescent="0.2">
      <c r="C8" s="8">
        <f>SUM(C4:C6)</f>
        <v>1.75</v>
      </c>
      <c r="D8" s="8">
        <f t="shared" ref="D8:E8" si="5">SUM(D4:D6)</f>
        <v>3.5</v>
      </c>
      <c r="E8" s="8">
        <f t="shared" si="5"/>
        <v>7</v>
      </c>
      <c r="H8" s="8">
        <f>SUM(H4:H6)</f>
        <v>2.2000000000000002</v>
      </c>
      <c r="I8" s="8">
        <f t="shared" ref="I8:J8" si="6">SUM(I4:I6)</f>
        <v>2.2000000000000002</v>
      </c>
      <c r="J8" s="8">
        <f t="shared" si="6"/>
        <v>11</v>
      </c>
      <c r="M8" s="8">
        <f>SUM(M4:M6)</f>
        <v>1.5333333333333332</v>
      </c>
      <c r="N8" s="8">
        <f t="shared" ref="N8:O8" si="7">SUM(N4:N6)</f>
        <v>4.5</v>
      </c>
      <c r="O8" s="8">
        <f t="shared" si="7"/>
        <v>8</v>
      </c>
      <c r="R8" s="8">
        <f>SUM(R4:R6)</f>
        <v>1.7657646771522928</v>
      </c>
      <c r="S8" s="8">
        <f t="shared" ref="S8:T8" si="8">SUM(S4:S6)</f>
        <v>3.1855237426961787</v>
      </c>
      <c r="T8" s="8">
        <f t="shared" si="8"/>
        <v>8.356006450207687</v>
      </c>
    </row>
    <row r="9" spans="1:21" hidden="1" x14ac:dyDescent="0.2"/>
    <row r="10" spans="1:21" hidden="1" x14ac:dyDescent="0.2"/>
    <row r="11" spans="1:21" hidden="1" x14ac:dyDescent="0.2">
      <c r="C11" s="8">
        <f>C4/C$8</f>
        <v>0.5714285714285714</v>
      </c>
      <c r="D11" s="8">
        <f>D4/D$8</f>
        <v>0.5714285714285714</v>
      </c>
      <c r="E11" s="8">
        <f>E4/E$8</f>
        <v>0.5714285714285714</v>
      </c>
      <c r="H11" s="8">
        <f>H4/H$8</f>
        <v>0.45454545454545453</v>
      </c>
      <c r="I11" s="8">
        <f>I4/I$8</f>
        <v>0.45454545454545453</v>
      </c>
      <c r="J11" s="8">
        <f>J4/J$8</f>
        <v>0.45454545454545453</v>
      </c>
      <c r="M11" s="8">
        <f>M4/M$8</f>
        <v>0.65217391304347827</v>
      </c>
      <c r="N11" s="8">
        <f>N4/N$8</f>
        <v>0.66666666666666663</v>
      </c>
      <c r="O11" s="8">
        <f>O4/O$8</f>
        <v>0.625</v>
      </c>
      <c r="R11" s="8">
        <f>R4/R$8</f>
        <v>0.56632687975882101</v>
      </c>
      <c r="S11" s="8">
        <f>S4/S$8</f>
        <v>0.57043071708332538</v>
      </c>
      <c r="T11" s="8">
        <f>T4/T$8</f>
        <v>0.55547932631112484</v>
      </c>
    </row>
    <row r="12" spans="1:21" hidden="1" x14ac:dyDescent="0.2">
      <c r="C12" s="8">
        <f t="shared" ref="C12:E13" si="9">C5/C$8</f>
        <v>0.2857142857142857</v>
      </c>
      <c r="D12" s="8">
        <f t="shared" si="9"/>
        <v>0.2857142857142857</v>
      </c>
      <c r="E12" s="8">
        <f t="shared" si="9"/>
        <v>0.2857142857142857</v>
      </c>
      <c r="H12" s="8">
        <f t="shared" ref="H12:J13" si="10">H5/H$8</f>
        <v>0.45454545454545453</v>
      </c>
      <c r="I12" s="8">
        <f t="shared" si="10"/>
        <v>0.45454545454545453</v>
      </c>
      <c r="J12" s="8">
        <f t="shared" si="10"/>
        <v>0.45454545454545453</v>
      </c>
      <c r="M12" s="8">
        <f t="shared" ref="M12:O13" si="11">M5/M$8</f>
        <v>0.21739130434782608</v>
      </c>
      <c r="N12" s="8">
        <f t="shared" si="11"/>
        <v>0.22222222222222221</v>
      </c>
      <c r="O12" s="8">
        <f t="shared" si="11"/>
        <v>0.25</v>
      </c>
      <c r="R12" s="8">
        <f t="shared" ref="R12:T13" si="12">R5/R$8</f>
        <v>0.31166169267618704</v>
      </c>
      <c r="S12" s="8">
        <f t="shared" si="12"/>
        <v>0.31392012139065562</v>
      </c>
      <c r="T12" s="8">
        <f t="shared" si="12"/>
        <v>0.32484628066885235</v>
      </c>
    </row>
    <row r="13" spans="1:21" hidden="1" x14ac:dyDescent="0.2">
      <c r="C13" s="8">
        <f t="shared" si="9"/>
        <v>0.14285714285714285</v>
      </c>
      <c r="D13" s="8">
        <f t="shared" si="9"/>
        <v>0.14285714285714285</v>
      </c>
      <c r="E13" s="8">
        <f t="shared" si="9"/>
        <v>0.14285714285714285</v>
      </c>
      <c r="H13" s="8">
        <f t="shared" si="10"/>
        <v>9.0909090909090912E-2</v>
      </c>
      <c r="I13" s="8">
        <f t="shared" si="10"/>
        <v>9.0909090909090912E-2</v>
      </c>
      <c r="J13" s="8">
        <f t="shared" si="10"/>
        <v>9.0909090909090912E-2</v>
      </c>
      <c r="M13" s="8">
        <f t="shared" si="11"/>
        <v>0.13043478260869568</v>
      </c>
      <c r="N13" s="8">
        <f t="shared" si="11"/>
        <v>0.1111111111111111</v>
      </c>
      <c r="O13" s="8">
        <f t="shared" si="11"/>
        <v>0.125</v>
      </c>
      <c r="R13" s="8">
        <f t="shared" si="12"/>
        <v>0.12201142756499196</v>
      </c>
      <c r="S13" s="8">
        <f t="shared" si="12"/>
        <v>0.11564916152601891</v>
      </c>
      <c r="T13" s="8">
        <f t="shared" si="12"/>
        <v>0.11967439302002277</v>
      </c>
    </row>
    <row r="14" spans="1:21" hidden="1" x14ac:dyDescent="0.2"/>
    <row r="15" spans="1:21" x14ac:dyDescent="0.2">
      <c r="D15" s="8" t="str">
        <f>B4</f>
        <v>Automatsko izdavanje certifikata i digitalna dokumentacija smanjuju administrativne zadatke zaposlenika za oko 60 % u odnosu na ručni postupak.</v>
      </c>
      <c r="E15" s="8">
        <f>AVERAGE(C11:E11)</f>
        <v>0.5714285714285714</v>
      </c>
      <c r="I15" s="8" t="str">
        <f>G4</f>
        <v>Automatsko izdavanje certifikata i digitalna dokumentacija smanjuju administrativne zadatke zaposlenika za oko 60 % u odnosu na ručni postupak.</v>
      </c>
      <c r="J15" s="8">
        <f>AVERAGE(H11:J11)</f>
        <v>0.45454545454545453</v>
      </c>
      <c r="N15" s="8" t="str">
        <f>L4</f>
        <v>Automatsko izdavanje certifikata i digitalna dokumentacija smanjuju administrativne zadatke zaposlenika za oko 60 % u odnosu na ručni postupak.</v>
      </c>
      <c r="O15" s="8">
        <f>AVERAGE(M11:O11)</f>
        <v>0.64794685990338163</v>
      </c>
      <c r="S15" s="8" t="str">
        <f>Q4</f>
        <v>Automatsko izdavanje certifikata i digitalna dokumentacija smanjuju administrativne zadatke zaposlenika za oko 60 % u odnosu na ručni postupak.</v>
      </c>
      <c r="T15" s="11">
        <f>AVERAGE(R11:T11)</f>
        <v>0.56407897438442378</v>
      </c>
    </row>
    <row r="16" spans="1:21" x14ac:dyDescent="0.2">
      <c r="D16" s="8" t="str">
        <f t="shared" ref="D16:D17" si="13">B5</f>
        <v>Uklanjanjem ručnih izvještaja i priprema za terenske kontrole, administrativno opterećenje zaposlenika smanjuje se za približno 40 %.</v>
      </c>
      <c r="E16" s="8">
        <f t="shared" ref="E16:E17" si="14">AVERAGE(C12:E12)</f>
        <v>0.2857142857142857</v>
      </c>
      <c r="I16" s="8" t="str">
        <f t="shared" ref="I16:I17" si="15">G5</f>
        <v>Uklanjanjem ručnih izvještaja i priprema za terenske kontrole, administrativno opterećenje zaposlenika smanjuje se za približno 40 %.</v>
      </c>
      <c r="J16" s="8">
        <f t="shared" ref="J16:J17" si="16">AVERAGE(H12:J12)</f>
        <v>0.45454545454545453</v>
      </c>
      <c r="N16" s="8" t="str">
        <f t="shared" ref="N16:N17" si="17">L5</f>
        <v>Uklanjanjem ručnih izvještaja i priprema za terenske kontrole, administrativno opterećenje zaposlenika smanjuje se za približno 40 %.</v>
      </c>
      <c r="O16" s="8">
        <f t="shared" ref="O16:O17" si="18">AVERAGE(M12:O12)</f>
        <v>0.22987117552334943</v>
      </c>
      <c r="S16" s="8" t="str">
        <f t="shared" ref="S16:S17" si="19">Q5</f>
        <v>Uklanjanjem ručnih izvještaja i priprema za terenske kontrole, administrativno opterećenje zaposlenika smanjuje se za približno 40 %.</v>
      </c>
      <c r="T16" s="11">
        <f t="shared" ref="T16:T17" si="20">AVERAGE(R12:T12)</f>
        <v>0.31680936491189832</v>
      </c>
    </row>
    <row r="17" spans="2:20" x14ac:dyDescent="0.2">
      <c r="D17" s="8" t="str">
        <f t="shared" si="13"/>
        <v>Digitalna evidencija sudionika i automatizirani obrasci smanjuju administrativne zadatke u fazi pripreme za približno 30 %, iako provedba aktivnosti ostaje fizička.</v>
      </c>
      <c r="E17" s="8">
        <f t="shared" si="14"/>
        <v>0.14285714285714285</v>
      </c>
      <c r="I17" s="8" t="str">
        <f t="shared" si="15"/>
        <v>Digitalna evidencija sudionika i automatizirani obrasci smanjuju administrativne zadatke u fazi pripreme za približno 30 %, iako provedba aktivnosti ostaje fizička.</v>
      </c>
      <c r="J17" s="8">
        <f t="shared" si="16"/>
        <v>9.0909090909090898E-2</v>
      </c>
      <c r="N17" s="8" t="str">
        <f t="shared" si="17"/>
        <v>Digitalna evidencija sudionika i automatizirani obrasci smanjuju administrativne zadatke u fazi pripreme za približno 30 %, iako provedba aktivnosti ostaje fizička.</v>
      </c>
      <c r="O17" s="8">
        <f t="shared" si="18"/>
        <v>0.12218196457326892</v>
      </c>
      <c r="S17" s="8" t="str">
        <f t="shared" si="19"/>
        <v>Digitalna evidencija sudionika i automatizirani obrasci smanjuju administrativne zadatke u fazi pripreme za približno 30 %, iako provedba aktivnosti ostaje fizička.</v>
      </c>
      <c r="T17" s="11">
        <f t="shared" si="20"/>
        <v>0.11911166070367789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0.5714285714285714</v>
      </c>
      <c r="D21" s="8">
        <f>D4*E$16</f>
        <v>0.5714285714285714</v>
      </c>
      <c r="E21" s="8">
        <f>E4*E$17</f>
        <v>0.5714285714285714</v>
      </c>
      <c r="H21" s="8">
        <f>H4*J$15</f>
        <v>0.45454545454545453</v>
      </c>
      <c r="I21" s="8">
        <f>I4*J$16</f>
        <v>0.45454545454545453</v>
      </c>
      <c r="J21" s="8">
        <f>J4*J$17</f>
        <v>0.45454545454545447</v>
      </c>
      <c r="M21" s="8">
        <f>M4*O$15</f>
        <v>0.64794685990338163</v>
      </c>
      <c r="N21" s="8">
        <f>N4*O$16</f>
        <v>0.68961352657004826</v>
      </c>
      <c r="O21" s="8">
        <f>O4*O$17</f>
        <v>0.61090982286634465</v>
      </c>
      <c r="R21" s="8">
        <f>R4*T$15</f>
        <v>0.56407897438442378</v>
      </c>
      <c r="S21" s="8">
        <f>S4*T$16</f>
        <v>0.57568082098348239</v>
      </c>
      <c r="T21" s="8">
        <f>T4*T$17</f>
        <v>0.55286735427526534</v>
      </c>
    </row>
    <row r="22" spans="2:20" hidden="1" x14ac:dyDescent="0.2">
      <c r="C22" s="8">
        <f t="shared" ref="C22:C23" si="21">C5*E$15</f>
        <v>0.2857142857142857</v>
      </c>
      <c r="D22" s="8">
        <f t="shared" ref="D22:D23" si="22">D5*E$16</f>
        <v>0.2857142857142857</v>
      </c>
      <c r="E22" s="8">
        <f t="shared" ref="E22:E23" si="23">E5*E$17</f>
        <v>0.2857142857142857</v>
      </c>
      <c r="H22" s="8">
        <f t="shared" ref="H22:H23" si="24">H5*J$15</f>
        <v>0.45454545454545453</v>
      </c>
      <c r="I22" s="8">
        <f t="shared" ref="I22:I23" si="25">I5*J$16</f>
        <v>0.45454545454545453</v>
      </c>
      <c r="J22" s="8">
        <f t="shared" ref="J22:J23" si="26">J5*J$17</f>
        <v>0.45454545454545447</v>
      </c>
      <c r="M22" s="8">
        <f t="shared" ref="M22:M23" si="27">M5*O$15</f>
        <v>0.21598228663446054</v>
      </c>
      <c r="N22" s="8">
        <f t="shared" ref="N22:N23" si="28">N5*O$16</f>
        <v>0.22987117552334943</v>
      </c>
      <c r="O22" s="8">
        <f t="shared" ref="O22:O23" si="29">O5*O$17</f>
        <v>0.24436392914653784</v>
      </c>
      <c r="R22" s="8">
        <f t="shared" ref="R22:R23" si="30">R5*T$15</f>
        <v>0.31042462267474386</v>
      </c>
      <c r="S22" s="8">
        <f t="shared" ref="S22:S23" si="31">S5*T$16</f>
        <v>0.31680936491189832</v>
      </c>
      <c r="T22" s="8">
        <f t="shared" ref="T22:T23" si="32">T5*T$17</f>
        <v>0.32331879015593856</v>
      </c>
    </row>
    <row r="23" spans="2:20" hidden="1" x14ac:dyDescent="0.2">
      <c r="C23" s="8">
        <f t="shared" si="21"/>
        <v>0.14285714285714285</v>
      </c>
      <c r="D23" s="8">
        <f t="shared" si="22"/>
        <v>0.14285714285714285</v>
      </c>
      <c r="E23" s="8">
        <f t="shared" si="23"/>
        <v>0.14285714285714285</v>
      </c>
      <c r="H23" s="8">
        <f t="shared" si="24"/>
        <v>9.0909090909090912E-2</v>
      </c>
      <c r="I23" s="8">
        <f t="shared" si="25"/>
        <v>9.0909090909090912E-2</v>
      </c>
      <c r="J23" s="8">
        <f t="shared" si="26"/>
        <v>9.0909090909090898E-2</v>
      </c>
      <c r="M23" s="8">
        <f t="shared" si="27"/>
        <v>0.12958937198067633</v>
      </c>
      <c r="N23" s="8">
        <f t="shared" si="28"/>
        <v>0.11493558776167472</v>
      </c>
      <c r="O23" s="8">
        <f t="shared" si="29"/>
        <v>0.12218196457326892</v>
      </c>
      <c r="R23" s="8">
        <f t="shared" si="30"/>
        <v>0.1215271310331409</v>
      </c>
      <c r="S23" s="8">
        <f t="shared" si="31"/>
        <v>0.11671356793996898</v>
      </c>
      <c r="T23" s="8">
        <f t="shared" si="32"/>
        <v>0.11911166070367789</v>
      </c>
    </row>
    <row r="24" spans="2:20" hidden="1" x14ac:dyDescent="0.2"/>
    <row r="25" spans="2:20" hidden="1" x14ac:dyDescent="0.2">
      <c r="C25" s="8">
        <f>SUM(C21:E21)</f>
        <v>1.7142857142857142</v>
      </c>
      <c r="D25" s="8">
        <f>SUM(C22:E22)</f>
        <v>0.8571428571428571</v>
      </c>
      <c r="E25" s="8">
        <f>SUM(C23:E23)</f>
        <v>0.42857142857142855</v>
      </c>
      <c r="H25" s="8">
        <f>SUM(H21:J21)</f>
        <v>1.3636363636363635</v>
      </c>
      <c r="I25" s="8">
        <f>SUM(H22:J22)</f>
        <v>1.3636363636363635</v>
      </c>
      <c r="J25" s="8">
        <f>SUM(H23:J23)</f>
        <v>0.27272727272727271</v>
      </c>
      <c r="M25" s="8">
        <f>SUM(M21:O21)</f>
        <v>1.9484702093397748</v>
      </c>
      <c r="N25" s="8">
        <f>SUM(M22:O22)</f>
        <v>0.69021739130434778</v>
      </c>
      <c r="O25" s="8">
        <f>SUM(M23:O23)</f>
        <v>0.36670692431561996</v>
      </c>
      <c r="R25" s="8">
        <f>SUM(R21:T21)</f>
        <v>1.6926271496431715</v>
      </c>
      <c r="S25" s="8">
        <f>SUM(R22:T22)</f>
        <v>0.95055277774258073</v>
      </c>
      <c r="T25" s="8">
        <f>SUM(R23:T23)</f>
        <v>0.3573523596767878</v>
      </c>
    </row>
    <row r="26" spans="2:20" hidden="1" x14ac:dyDescent="0.2"/>
    <row r="27" spans="2:20" hidden="1" x14ac:dyDescent="0.2">
      <c r="C27" s="8">
        <f>E15</f>
        <v>0.5714285714285714</v>
      </c>
      <c r="D27" s="8">
        <f>E16</f>
        <v>0.2857142857142857</v>
      </c>
      <c r="E27" s="8">
        <f>E17</f>
        <v>0.14285714285714285</v>
      </c>
      <c r="H27" s="8">
        <f>J15</f>
        <v>0.45454545454545453</v>
      </c>
      <c r="I27" s="8">
        <f>J16</f>
        <v>0.45454545454545453</v>
      </c>
      <c r="J27" s="8">
        <f>J17</f>
        <v>9.0909090909090898E-2</v>
      </c>
      <c r="M27" s="8">
        <f>O15</f>
        <v>0.64794685990338163</v>
      </c>
      <c r="N27" s="8">
        <f>O16</f>
        <v>0.22987117552334943</v>
      </c>
      <c r="O27" s="8">
        <f>O17</f>
        <v>0.12218196457326892</v>
      </c>
      <c r="R27" s="8">
        <f>T15</f>
        <v>0.56407897438442378</v>
      </c>
      <c r="S27" s="8">
        <f>T16</f>
        <v>0.31680936491189832</v>
      </c>
      <c r="T27" s="8">
        <f>T17</f>
        <v>0.11911166070367789</v>
      </c>
    </row>
    <row r="28" spans="2:20" hidden="1" x14ac:dyDescent="0.2"/>
    <row r="29" spans="2:20" hidden="1" x14ac:dyDescent="0.2">
      <c r="C29" s="8">
        <f>C25/C27</f>
        <v>3</v>
      </c>
      <c r="D29" s="8">
        <f t="shared" ref="D29:E29" si="33">D25/D27</f>
        <v>3</v>
      </c>
      <c r="E29" s="8">
        <f t="shared" si="33"/>
        <v>3</v>
      </c>
      <c r="H29" s="8">
        <f>H25/H27</f>
        <v>3</v>
      </c>
      <c r="I29" s="8">
        <f t="shared" ref="I29:J29" si="34">I25/I27</f>
        <v>3</v>
      </c>
      <c r="J29" s="8">
        <f t="shared" si="34"/>
        <v>3</v>
      </c>
      <c r="M29" s="8">
        <f>M25/M27</f>
        <v>3.0071450761105938</v>
      </c>
      <c r="N29" s="8">
        <f t="shared" ref="N29:O29" si="35">N25/N27</f>
        <v>3.0026269702276704</v>
      </c>
      <c r="O29" s="8">
        <f t="shared" si="35"/>
        <v>3.0013179571663922</v>
      </c>
      <c r="R29" s="8">
        <f>R25/R27</f>
        <v>3.0006917940707258</v>
      </c>
      <c r="S29" s="8">
        <f t="shared" ref="S29:T29" si="36">S25/S27</f>
        <v>3.0003935584635273</v>
      </c>
      <c r="T29" s="8">
        <f t="shared" si="36"/>
        <v>3.0001458930691713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</v>
      </c>
      <c r="I31" s="8" t="s">
        <v>20</v>
      </c>
      <c r="J31" s="8">
        <f>AVERAGE(H29:J29)</f>
        <v>3</v>
      </c>
      <c r="N31" s="8" t="s">
        <v>20</v>
      </c>
      <c r="O31" s="8">
        <f>AVERAGE(M29:O29)</f>
        <v>3.0036966678348858</v>
      </c>
      <c r="S31" s="8" t="s">
        <v>20</v>
      </c>
      <c r="T31" s="8">
        <f>AVERAGE(R29:T29)</f>
        <v>3.0004104152011415</v>
      </c>
    </row>
    <row r="32" spans="2:20" hidden="1" x14ac:dyDescent="0.2">
      <c r="D32" s="8" t="s">
        <v>21</v>
      </c>
      <c r="E32" s="8">
        <f>(E31-3)/2</f>
        <v>0</v>
      </c>
      <c r="I32" s="8" t="s">
        <v>21</v>
      </c>
      <c r="J32" s="8">
        <f>(J31-3)/2</f>
        <v>0</v>
      </c>
      <c r="N32" s="8" t="s">
        <v>21</v>
      </c>
      <c r="O32" s="8">
        <f>(O31-3)/2</f>
        <v>1.8483339174428792E-3</v>
      </c>
      <c r="S32" s="8" t="s">
        <v>21</v>
      </c>
      <c r="T32" s="8">
        <f>(T31-3)/2</f>
        <v>2.0520760057074483E-4</v>
      </c>
    </row>
    <row r="33" spans="4:20" x14ac:dyDescent="0.2">
      <c r="D33" s="8" t="s">
        <v>22</v>
      </c>
      <c r="E33" s="8">
        <f>E32/0.52</f>
        <v>0</v>
      </c>
      <c r="I33" s="8" t="s">
        <v>22</v>
      </c>
      <c r="J33" s="8">
        <f>J32/0.52</f>
        <v>0</v>
      </c>
      <c r="N33" s="8" t="s">
        <v>22</v>
      </c>
      <c r="O33" s="8">
        <f>O32/0.52</f>
        <v>3.5544883027747677E-3</v>
      </c>
      <c r="S33" s="8" t="s">
        <v>22</v>
      </c>
      <c r="T33" s="8">
        <f>T32/0.52</f>
        <v>3.946300010975862E-4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0813-1EAC-BF47-9027-B4F35C7CDD71}">
  <dimension ref="A2:U33"/>
  <sheetViews>
    <sheetView topLeftCell="A3" zoomScale="75" workbookViewId="0">
      <selection activeCell="J20" sqref="J20"/>
    </sheetView>
  </sheetViews>
  <sheetFormatPr baseColWidth="10" defaultColWidth="8.83203125" defaultRowHeight="15" x14ac:dyDescent="0.2"/>
  <cols>
    <col min="2" max="20" width="14" customWidth="1"/>
  </cols>
  <sheetData>
    <row r="2" spans="1:2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ht="176" customHeight="1" x14ac:dyDescent="0.2">
      <c r="A3" s="33"/>
      <c r="B3" s="13"/>
      <c r="C3" s="13" t="str">
        <f>B4</f>
        <v>Centralizirani sustav smanjuje potrebu za međusobnom komunikacijom između administracije i stručnih odjela za približno 45 %, jer su svi podaci dostupni na jednom mjestu.</v>
      </c>
      <c r="D3" s="13" t="str">
        <f>B5</f>
        <v>Digitalni zapisi i snimke omogućuju bržu razmjenu informacija, čime se vrijeme potrebno za usklađivanje između odjela smanjuje za 35 %.</v>
      </c>
      <c r="E3" s="13" t="str">
        <f>B6</f>
        <v>Digitalni planovi i automatizirane prijave smanjuju potrebu za intenzivnom koordinacijom između logistike, organizatora i marketinga za oko 30 %.</v>
      </c>
      <c r="F3" s="33"/>
      <c r="G3" s="13"/>
      <c r="H3" s="13" t="str">
        <f>G4</f>
        <v>Centralizirani sustav smanjuje potrebu za međusobnom komunikacijom između administracije i stručnih odjela za približno 45 %, jer su svi podaci dostupni na jednom mjestu.</v>
      </c>
      <c r="I3" s="13" t="str">
        <f>G5</f>
        <v>Digitalni zapisi i snimke omogućuju bržu razmjenu informacija, čime se vrijeme potrebno za usklađivanje između odjela smanjuje za 35 %.</v>
      </c>
      <c r="J3" s="13" t="str">
        <f>G6</f>
        <v>Digitalni planovi i automatizirane prijave smanjuju potrebu za intenzivnom koordinacijom između logistike, organizatora i marketinga za oko 30 %.</v>
      </c>
      <c r="K3" s="33"/>
      <c r="L3" s="13"/>
      <c r="M3" s="13" t="str">
        <f>L4</f>
        <v>Centralizirani sustav smanjuje potrebu za međusobnom komunikacijom između administracije i stručnih odjela za približno 45 %, jer su svi podaci dostupni na jednom mjestu.</v>
      </c>
      <c r="N3" s="13" t="str">
        <f>L5</f>
        <v>Digitalni zapisi i snimke omogućuju bržu razmjenu informacija, čime se vrijeme potrebno za usklađivanje između odjela smanjuje za 35 %.</v>
      </c>
      <c r="O3" s="13" t="str">
        <f>L6</f>
        <v>Digitalni planovi i automatizirane prijave smanjuju potrebu za intenzivnom koordinacijom između logistike, organizatora i marketinga za oko 30 %.</v>
      </c>
      <c r="P3" s="33"/>
      <c r="Q3" s="13"/>
      <c r="R3" s="13" t="str">
        <f>Q4</f>
        <v>Centralizirani sustav smanjuje potrebu za međusobnom komunikacijom između administracije i stručnih odjela za približno 45 %, jer su svi podaci dostupni na jednom mjestu.</v>
      </c>
      <c r="S3" s="13" t="str">
        <f>Q5</f>
        <v>Digitalni zapisi i snimke omogućuju bržu razmjenu informacija, čime se vrijeme potrebno za usklađivanje između odjela smanjuje za 35 %.</v>
      </c>
      <c r="T3" s="13" t="str">
        <f>Q6</f>
        <v>Digitalni planovi i automatizirane prijave smanjuju potrebu za intenzivnom koordinacijom između logistike, organizatora i marketinga za oko 30 %.</v>
      </c>
      <c r="U3" s="33"/>
    </row>
    <row r="4" spans="1:21" ht="176" customHeight="1" x14ac:dyDescent="0.2">
      <c r="A4" s="33"/>
      <c r="B4" s="12" t="s">
        <v>175</v>
      </c>
      <c r="C4" s="13">
        <v>1</v>
      </c>
      <c r="D4" s="13">
        <v>2</v>
      </c>
      <c r="E4" s="13">
        <v>3</v>
      </c>
      <c r="F4" s="33"/>
      <c r="G4" s="13" t="str">
        <f>B4</f>
        <v>Centralizirani sustav smanjuje potrebu za međusobnom komunikacijom između administracije i stručnih odjela za približno 45 %, jer su svi podaci dostupni na jednom mjestu.</v>
      </c>
      <c r="H4" s="13">
        <v>1</v>
      </c>
      <c r="I4" s="34">
        <v>0.5</v>
      </c>
      <c r="J4" s="13">
        <v>3</v>
      </c>
      <c r="K4" s="33"/>
      <c r="L4" s="13" t="str">
        <f>G4</f>
        <v>Centralizirani sustav smanjuje potrebu za međusobnom komunikacijom između administracije i stručnih odjela za približno 45 %, jer su svi podaci dostupni na jednom mjestu.</v>
      </c>
      <c r="M4" s="13">
        <v>1</v>
      </c>
      <c r="N4" s="13">
        <v>5</v>
      </c>
      <c r="O4" s="13">
        <v>5</v>
      </c>
      <c r="P4" s="33"/>
      <c r="Q4" s="13" t="str">
        <f>L4</f>
        <v>Centralizirani sustav smanjuje potrebu za međusobnom komunikacijom između administracije i stručnih odjela za približno 45 %, jer su svi podaci dostupni na jednom mjestu.</v>
      </c>
      <c r="R4" s="13">
        <f>GEOMEAN(C4,H4,M4)</f>
        <v>1</v>
      </c>
      <c r="S4" s="13">
        <f t="shared" ref="S4:T6" si="0">GEOMEAN(D4,I4,N4)</f>
        <v>1.7099759466766968</v>
      </c>
      <c r="T4" s="13">
        <f t="shared" si="0"/>
        <v>3.556893304490063</v>
      </c>
      <c r="U4" s="33"/>
    </row>
    <row r="5" spans="1:21" ht="176" customHeight="1" x14ac:dyDescent="0.2">
      <c r="A5" s="33"/>
      <c r="B5" s="12" t="s">
        <v>176</v>
      </c>
      <c r="C5" s="34">
        <v>0.5</v>
      </c>
      <c r="D5" s="13">
        <v>1</v>
      </c>
      <c r="E5" s="13">
        <v>2</v>
      </c>
      <c r="F5" s="33"/>
      <c r="G5" s="13" t="str">
        <f t="shared" ref="G5:G6" si="1">B5</f>
        <v>Digitalni zapisi i snimke omogućuju bržu razmjenu informacija, čime se vrijeme potrebno za usklađivanje između odjela smanjuje za 35 %.</v>
      </c>
      <c r="H5" s="13">
        <v>2</v>
      </c>
      <c r="I5" s="13">
        <v>1</v>
      </c>
      <c r="J5" s="13">
        <v>4</v>
      </c>
      <c r="K5" s="33"/>
      <c r="L5" s="13" t="str">
        <f t="shared" ref="L5:L6" si="2">G5</f>
        <v>Digitalni zapisi i snimke omogućuju bržu razmjenu informacija, čime se vrijeme potrebno za usklađivanje između odjela smanjuje za 35 %.</v>
      </c>
      <c r="M5" s="34">
        <v>0.2</v>
      </c>
      <c r="N5" s="13">
        <v>1</v>
      </c>
      <c r="O5" s="13">
        <v>1</v>
      </c>
      <c r="P5" s="33"/>
      <c r="Q5" s="13" t="str">
        <f t="shared" ref="Q5:Q6" si="3">L5</f>
        <v>Digitalni zapisi i snimke omogućuju bržu razmjenu informacija, čime se vrijeme potrebno za usklađivanje između odjela smanjuje za 35 %.</v>
      </c>
      <c r="R5" s="13">
        <f t="shared" ref="R5:R6" si="4">GEOMEAN(C5,H5,M5)</f>
        <v>0.58480354764257325</v>
      </c>
      <c r="S5" s="13">
        <f t="shared" si="0"/>
        <v>1</v>
      </c>
      <c r="T5" s="13">
        <f t="shared" si="0"/>
        <v>2</v>
      </c>
      <c r="U5" s="33"/>
    </row>
    <row r="6" spans="1:21" ht="176" customHeight="1" x14ac:dyDescent="0.2">
      <c r="A6" s="33"/>
      <c r="B6" s="12" t="s">
        <v>177</v>
      </c>
      <c r="C6" s="34">
        <v>0.33333333333333331</v>
      </c>
      <c r="D6" s="34">
        <v>0.5</v>
      </c>
      <c r="E6" s="13">
        <v>1</v>
      </c>
      <c r="F6" s="33"/>
      <c r="G6" s="13" t="str">
        <f t="shared" si="1"/>
        <v>Digitalni planovi i automatizirane prijave smanjuju potrebu za intenzivnom koordinacijom između logistike, organizatora i marketinga za oko 30 %.</v>
      </c>
      <c r="H6" s="34">
        <v>0.33333333333333331</v>
      </c>
      <c r="I6" s="34">
        <v>0.25</v>
      </c>
      <c r="J6" s="13">
        <v>1</v>
      </c>
      <c r="K6" s="33"/>
      <c r="L6" s="13" t="str">
        <f t="shared" si="2"/>
        <v>Digitalni planovi i automatizirane prijave smanjuju potrebu za intenzivnom koordinacijom između logistike, organizatora i marketinga za oko 30 %.</v>
      </c>
      <c r="M6" s="34">
        <v>0.2</v>
      </c>
      <c r="N6" s="13">
        <v>1</v>
      </c>
      <c r="O6" s="13">
        <v>1</v>
      </c>
      <c r="P6" s="33"/>
      <c r="Q6" s="13" t="str">
        <f t="shared" si="3"/>
        <v>Digitalni planovi i automatizirane prijave smanjuju potrebu za intenzivnom koordinacijom između logistike, organizatora i marketinga za oko 30 %.</v>
      </c>
      <c r="R6" s="13">
        <f t="shared" si="4"/>
        <v>0.28114422176724974</v>
      </c>
      <c r="S6" s="13">
        <f t="shared" si="0"/>
        <v>0.5</v>
      </c>
      <c r="T6" s="13">
        <f t="shared" si="0"/>
        <v>1</v>
      </c>
      <c r="U6" s="33"/>
    </row>
    <row r="7" spans="1:21" x14ac:dyDescent="0.2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idden="1" x14ac:dyDescent="0.2">
      <c r="A8" s="33"/>
      <c r="B8" s="33"/>
      <c r="C8" s="13">
        <f>SUM(C4:C6)</f>
        <v>1.8333333333333333</v>
      </c>
      <c r="D8" s="13">
        <f t="shared" ref="D8:E8" si="5">SUM(D4:D6)</f>
        <v>3.5</v>
      </c>
      <c r="E8" s="13">
        <f t="shared" si="5"/>
        <v>6</v>
      </c>
      <c r="F8" s="33"/>
      <c r="G8" s="33"/>
      <c r="H8" s="13">
        <f>SUM(H4:H6)</f>
        <v>3.3333333333333335</v>
      </c>
      <c r="I8" s="13">
        <f t="shared" ref="I8:J8" si="6">SUM(I4:I6)</f>
        <v>1.75</v>
      </c>
      <c r="J8" s="13">
        <f t="shared" si="6"/>
        <v>8</v>
      </c>
      <c r="K8" s="33"/>
      <c r="L8" s="33"/>
      <c r="M8" s="13">
        <f>SUM(M4:M6)</f>
        <v>1.4</v>
      </c>
      <c r="N8" s="13">
        <f t="shared" ref="N8:O8" si="7">SUM(N4:N6)</f>
        <v>7</v>
      </c>
      <c r="O8" s="13">
        <f t="shared" si="7"/>
        <v>7</v>
      </c>
      <c r="P8" s="33"/>
      <c r="Q8" s="33"/>
      <c r="R8" s="13">
        <f>SUM(R4:R6)</f>
        <v>1.865947769409823</v>
      </c>
      <c r="S8" s="13">
        <f t="shared" ref="S8:T8" si="8">SUM(S4:S6)</f>
        <v>3.2099759466766971</v>
      </c>
      <c r="T8" s="13">
        <f t="shared" si="8"/>
        <v>6.556893304490063</v>
      </c>
      <c r="U8" s="33"/>
    </row>
    <row r="9" spans="1:21" hidden="1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 spans="1:21" hidden="1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</row>
    <row r="11" spans="1:21" hidden="1" x14ac:dyDescent="0.2">
      <c r="A11" s="33"/>
      <c r="B11" s="33"/>
      <c r="C11" s="13">
        <f>C4/C$8</f>
        <v>0.54545454545454553</v>
      </c>
      <c r="D11" s="13">
        <f>D4/D$8</f>
        <v>0.5714285714285714</v>
      </c>
      <c r="E11" s="13">
        <f>E4/E$8</f>
        <v>0.5</v>
      </c>
      <c r="F11" s="33"/>
      <c r="G11" s="33"/>
      <c r="H11" s="13">
        <f>H4/H$8</f>
        <v>0.3</v>
      </c>
      <c r="I11" s="13">
        <f>I4/I$8</f>
        <v>0.2857142857142857</v>
      </c>
      <c r="J11" s="13">
        <f>J4/J$8</f>
        <v>0.375</v>
      </c>
      <c r="K11" s="33"/>
      <c r="L11" s="33"/>
      <c r="M11" s="13">
        <f>M4/M$8</f>
        <v>0.7142857142857143</v>
      </c>
      <c r="N11" s="13">
        <f>N4/N$8</f>
        <v>0.7142857142857143</v>
      </c>
      <c r="O11" s="13">
        <f>O4/O$8</f>
        <v>0.7142857142857143</v>
      </c>
      <c r="P11" s="33"/>
      <c r="Q11" s="33"/>
      <c r="R11" s="13">
        <f>R4/R$8</f>
        <v>0.53592068137914073</v>
      </c>
      <c r="S11" s="13">
        <f>S4/S$8</f>
        <v>0.53270677883024098</v>
      </c>
      <c r="T11" s="13">
        <f>T4/T$8</f>
        <v>0.54246624724766457</v>
      </c>
      <c r="U11" s="33"/>
    </row>
    <row r="12" spans="1:21" hidden="1" x14ac:dyDescent="0.2">
      <c r="A12" s="33"/>
      <c r="B12" s="33"/>
      <c r="C12" s="13">
        <f t="shared" ref="C12:E13" si="9">C5/C$8</f>
        <v>0.27272727272727276</v>
      </c>
      <c r="D12" s="13">
        <f t="shared" si="9"/>
        <v>0.2857142857142857</v>
      </c>
      <c r="E12" s="13">
        <f t="shared" si="9"/>
        <v>0.33333333333333331</v>
      </c>
      <c r="F12" s="33"/>
      <c r="G12" s="33"/>
      <c r="H12" s="13">
        <f t="shared" ref="H12:J13" si="10">H5/H$8</f>
        <v>0.6</v>
      </c>
      <c r="I12" s="13">
        <f t="shared" si="10"/>
        <v>0.5714285714285714</v>
      </c>
      <c r="J12" s="13">
        <f t="shared" si="10"/>
        <v>0.5</v>
      </c>
      <c r="K12" s="33"/>
      <c r="L12" s="33"/>
      <c r="M12" s="13">
        <f t="shared" ref="M12:O13" si="11">M5/M$8</f>
        <v>0.14285714285714288</v>
      </c>
      <c r="N12" s="13">
        <f t="shared" si="11"/>
        <v>0.14285714285714285</v>
      </c>
      <c r="O12" s="13">
        <f t="shared" si="11"/>
        <v>0.14285714285714285</v>
      </c>
      <c r="P12" s="33"/>
      <c r="Q12" s="33"/>
      <c r="R12" s="13">
        <f t="shared" ref="R12:T13" si="12">R5/R$8</f>
        <v>0.31340831572554662</v>
      </c>
      <c r="S12" s="13">
        <f t="shared" si="12"/>
        <v>0.31152881411317263</v>
      </c>
      <c r="T12" s="13">
        <f t="shared" si="12"/>
        <v>0.30502250183489027</v>
      </c>
      <c r="U12" s="33"/>
    </row>
    <row r="13" spans="1:21" hidden="1" x14ac:dyDescent="0.2">
      <c r="A13" s="33"/>
      <c r="B13" s="33"/>
      <c r="C13" s="13">
        <f t="shared" si="9"/>
        <v>0.18181818181818182</v>
      </c>
      <c r="D13" s="13">
        <f t="shared" si="9"/>
        <v>0.14285714285714285</v>
      </c>
      <c r="E13" s="13">
        <f t="shared" si="9"/>
        <v>0.16666666666666666</v>
      </c>
      <c r="F13" s="33"/>
      <c r="G13" s="33"/>
      <c r="H13" s="13">
        <f t="shared" si="10"/>
        <v>9.9999999999999992E-2</v>
      </c>
      <c r="I13" s="13">
        <f t="shared" si="10"/>
        <v>0.14285714285714285</v>
      </c>
      <c r="J13" s="13">
        <f t="shared" si="10"/>
        <v>0.125</v>
      </c>
      <c r="K13" s="33"/>
      <c r="L13" s="33"/>
      <c r="M13" s="13">
        <f t="shared" si="11"/>
        <v>0.14285714285714288</v>
      </c>
      <c r="N13" s="13">
        <f t="shared" si="11"/>
        <v>0.14285714285714285</v>
      </c>
      <c r="O13" s="13">
        <f t="shared" si="11"/>
        <v>0.14285714285714285</v>
      </c>
      <c r="P13" s="33"/>
      <c r="Q13" s="33"/>
      <c r="R13" s="13">
        <f t="shared" si="12"/>
        <v>0.15067100289531271</v>
      </c>
      <c r="S13" s="13">
        <f t="shared" si="12"/>
        <v>0.15576440705658631</v>
      </c>
      <c r="T13" s="13">
        <f t="shared" si="12"/>
        <v>0.15251125091744513</v>
      </c>
      <c r="U13" s="33"/>
    </row>
    <row r="14" spans="1:21" hidden="1" x14ac:dyDescent="0.2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x14ac:dyDescent="0.2">
      <c r="A15" s="33"/>
      <c r="B15" s="33"/>
      <c r="D15" s="8" t="str">
        <f>B4</f>
        <v>Centralizirani sustav smanjuje potrebu za međusobnom komunikacijom između administracije i stručnih odjela za približno 45 %, jer su svi podaci dostupni na jednom mjestu.</v>
      </c>
      <c r="E15" s="8">
        <f>AVERAGE(C11:E11)</f>
        <v>0.53896103896103897</v>
      </c>
      <c r="I15" s="8" t="str">
        <f>G4</f>
        <v>Centralizirani sustav smanjuje potrebu za međusobnom komunikacijom između administracije i stručnih odjela za približno 45 %, jer su svi podaci dostupni na jednom mjestu.</v>
      </c>
      <c r="J15" s="8">
        <f>AVERAGE(H11:J11)</f>
        <v>0.32023809523809521</v>
      </c>
      <c r="N15" s="8" t="str">
        <f>L4</f>
        <v>Centralizirani sustav smanjuje potrebu za međusobnom komunikacijom između administracije i stručnih odjela za približno 45 %, jer su svi podaci dostupni na jednom mjestu.</v>
      </c>
      <c r="O15" s="8">
        <f>AVERAGE(M11:O11)</f>
        <v>0.7142857142857143</v>
      </c>
      <c r="S15" s="8" t="str">
        <f>Q4</f>
        <v>Centralizirani sustav smanjuje potrebu za međusobnom komunikacijom između administracije i stručnih odjela za približno 45 %, jer su svi podaci dostupni na jednom mjestu.</v>
      </c>
      <c r="T15" s="11">
        <f>AVERAGE(R11:T11)</f>
        <v>0.53703123581901535</v>
      </c>
      <c r="U15" s="33"/>
    </row>
    <row r="16" spans="1:21" x14ac:dyDescent="0.2">
      <c r="A16" s="33"/>
      <c r="B16" s="33"/>
      <c r="D16" s="8" t="str">
        <f t="shared" ref="D16:D17" si="13">B5</f>
        <v>Digitalni zapisi i snimke omogućuju bržu razmjenu informacija, čime se vrijeme potrebno za usklađivanje između odjela smanjuje za 35 %.</v>
      </c>
      <c r="E16" s="8">
        <f t="shared" ref="E16:E17" si="14">AVERAGE(C12:E12)</f>
        <v>0.29725829725829728</v>
      </c>
      <c r="I16" s="8" t="str">
        <f t="shared" ref="I16:I17" si="15">G5</f>
        <v>Digitalni zapisi i snimke omogućuju bržu razmjenu informacija, čime se vrijeme potrebno za usklađivanje između odjela smanjuje za 35 %.</v>
      </c>
      <c r="J16" s="8">
        <f t="shared" ref="J16:J17" si="16">AVERAGE(H12:J12)</f>
        <v>0.55714285714285705</v>
      </c>
      <c r="N16" s="8" t="str">
        <f t="shared" ref="N16:N17" si="17">L5</f>
        <v>Digitalni zapisi i snimke omogućuju bržu razmjenu informacija, čime se vrijeme potrebno za usklađivanje između odjela smanjuje za 35 %.</v>
      </c>
      <c r="O16" s="8">
        <f t="shared" ref="O16:O17" si="18">AVERAGE(M12:O12)</f>
        <v>0.14285714285714285</v>
      </c>
      <c r="S16" s="8" t="str">
        <f t="shared" ref="S16:S17" si="19">Q5</f>
        <v>Digitalni zapisi i snimke omogućuju bržu razmjenu informacija, čime se vrijeme potrebno za usklađivanje između odjela smanjuje za 35 %.</v>
      </c>
      <c r="T16" s="11">
        <f t="shared" ref="T16:T17" si="20">AVERAGE(R12:T12)</f>
        <v>0.30998654389120311</v>
      </c>
      <c r="U16" s="33"/>
    </row>
    <row r="17" spans="1:21" x14ac:dyDescent="0.2">
      <c r="A17" s="33"/>
      <c r="B17" s="33"/>
      <c r="D17" s="8" t="str">
        <f t="shared" si="13"/>
        <v>Digitalni planovi i automatizirane prijave smanjuju potrebu za intenzivnom koordinacijom između logistike, organizatora i marketinga za oko 30 %.</v>
      </c>
      <c r="E17" s="8">
        <f t="shared" si="14"/>
        <v>0.16378066378066378</v>
      </c>
      <c r="I17" s="8" t="str">
        <f t="shared" si="15"/>
        <v>Digitalni planovi i automatizirane prijave smanjuju potrebu za intenzivnom koordinacijom između logistike, organizatora i marketinga za oko 30 %.</v>
      </c>
      <c r="J17" s="8">
        <f t="shared" si="16"/>
        <v>0.12261904761904761</v>
      </c>
      <c r="N17" s="8" t="str">
        <f t="shared" si="17"/>
        <v>Digitalni planovi i automatizirane prijave smanjuju potrebu za intenzivnom koordinacijom između logistike, organizatora i marketinga za oko 30 %.</v>
      </c>
      <c r="O17" s="8">
        <f t="shared" si="18"/>
        <v>0.14285714285714285</v>
      </c>
      <c r="S17" s="8" t="str">
        <f t="shared" si="19"/>
        <v>Digitalni planovi i automatizirane prijave smanjuju potrebu za intenzivnom koordinacijom između logistike, organizatora i marketinga za oko 30 %.</v>
      </c>
      <c r="T17" s="11">
        <f t="shared" si="20"/>
        <v>0.15298222028978137</v>
      </c>
      <c r="U17" s="33"/>
    </row>
    <row r="18" spans="1:2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1:21" x14ac:dyDescent="0.2">
      <c r="B19" t="s">
        <v>19</v>
      </c>
      <c r="G19" t="s">
        <v>19</v>
      </c>
      <c r="L19" t="s">
        <v>19</v>
      </c>
      <c r="Q19" t="s">
        <v>19</v>
      </c>
    </row>
    <row r="21" spans="1:21" hidden="1" x14ac:dyDescent="0.2">
      <c r="C21" s="8">
        <f>C4*E$15</f>
        <v>0.53896103896103897</v>
      </c>
      <c r="D21" s="8">
        <f>D4*E$16</f>
        <v>0.59451659451659455</v>
      </c>
      <c r="E21" s="8">
        <f>E4*E$17</f>
        <v>0.4913419913419913</v>
      </c>
      <c r="H21" s="8">
        <f>H4*J$15</f>
        <v>0.32023809523809521</v>
      </c>
      <c r="I21" s="8">
        <f>I4*J$16</f>
        <v>0.27857142857142853</v>
      </c>
      <c r="J21" s="8">
        <f>J4*J$17</f>
        <v>0.36785714285714283</v>
      </c>
      <c r="M21" s="8">
        <f>M4*O$15</f>
        <v>0.7142857142857143</v>
      </c>
      <c r="N21" s="8">
        <f>N4*O$16</f>
        <v>0.71428571428571419</v>
      </c>
      <c r="O21" s="8">
        <f>O4*O$17</f>
        <v>0.71428571428571419</v>
      </c>
      <c r="R21" s="8">
        <f>R4*T$15</f>
        <v>0.53703123581901535</v>
      </c>
      <c r="S21" s="8">
        <f>S4*T$16</f>
        <v>0.53006953384739752</v>
      </c>
      <c r="T21" s="8">
        <f>T4*T$17</f>
        <v>0.54414143505474721</v>
      </c>
    </row>
    <row r="22" spans="1:21" hidden="1" x14ac:dyDescent="0.2">
      <c r="C22" s="8">
        <f t="shared" ref="C22:C23" si="21">C5*E$15</f>
        <v>0.26948051948051949</v>
      </c>
      <c r="D22" s="8">
        <f t="shared" ref="D22:D23" si="22">D5*E$16</f>
        <v>0.29725829725829728</v>
      </c>
      <c r="E22" s="8">
        <f t="shared" ref="E22:E23" si="23">E5*E$17</f>
        <v>0.32756132756132755</v>
      </c>
      <c r="H22" s="8">
        <f t="shared" ref="H22:H23" si="24">H5*J$15</f>
        <v>0.64047619047619042</v>
      </c>
      <c r="I22" s="8">
        <f t="shared" ref="I22:I23" si="25">I5*J$16</f>
        <v>0.55714285714285705</v>
      </c>
      <c r="J22" s="8">
        <f t="shared" ref="J22:J23" si="26">J5*J$17</f>
        <v>0.49047619047619045</v>
      </c>
      <c r="M22" s="8">
        <f t="shared" ref="M22:M23" si="27">M5*O$15</f>
        <v>0.14285714285714288</v>
      </c>
      <c r="N22" s="8">
        <f t="shared" ref="N22:N23" si="28">N5*O$16</f>
        <v>0.14285714285714285</v>
      </c>
      <c r="O22" s="8">
        <f t="shared" ref="O22:O23" si="29">O5*O$17</f>
        <v>0.14285714285714285</v>
      </c>
      <c r="R22" s="8">
        <f t="shared" ref="R22:R23" si="30">R5*T$15</f>
        <v>0.31405777190183554</v>
      </c>
      <c r="S22" s="8">
        <f t="shared" ref="S22:S23" si="31">S5*T$16</f>
        <v>0.30998654389120311</v>
      </c>
      <c r="T22" s="8">
        <f t="shared" ref="T22:T23" si="32">T5*T$17</f>
        <v>0.30596444057956274</v>
      </c>
    </row>
    <row r="23" spans="1:21" hidden="1" x14ac:dyDescent="0.2">
      <c r="C23" s="8">
        <f t="shared" si="21"/>
        <v>0.17965367965367965</v>
      </c>
      <c r="D23" s="8">
        <f t="shared" si="22"/>
        <v>0.14862914862914864</v>
      </c>
      <c r="E23" s="8">
        <f t="shared" si="23"/>
        <v>0.16378066378066378</v>
      </c>
      <c r="H23" s="8">
        <f t="shared" si="24"/>
        <v>0.10674603174603173</v>
      </c>
      <c r="I23" s="8">
        <f t="shared" si="25"/>
        <v>0.13928571428571426</v>
      </c>
      <c r="J23" s="8">
        <f t="shared" si="26"/>
        <v>0.12261904761904761</v>
      </c>
      <c r="M23" s="8">
        <f t="shared" si="27"/>
        <v>0.14285714285714288</v>
      </c>
      <c r="N23" s="8">
        <f t="shared" si="28"/>
        <v>0.14285714285714285</v>
      </c>
      <c r="O23" s="8">
        <f t="shared" si="29"/>
        <v>0.14285714285714285</v>
      </c>
      <c r="R23" s="8">
        <f t="shared" si="30"/>
        <v>0.15098322885904145</v>
      </c>
      <c r="S23" s="8">
        <f t="shared" si="31"/>
        <v>0.15499327194560156</v>
      </c>
      <c r="T23" s="8">
        <f t="shared" si="32"/>
        <v>0.15298222028978137</v>
      </c>
    </row>
    <row r="24" spans="1:21" hidden="1" x14ac:dyDescent="0.2"/>
    <row r="25" spans="1:21" hidden="1" x14ac:dyDescent="0.2">
      <c r="C25" s="8">
        <f>SUM(C21:E21)</f>
        <v>1.6248196248196249</v>
      </c>
      <c r="D25" s="8">
        <f>SUM(C22:E22)</f>
        <v>0.89430014430014437</v>
      </c>
      <c r="E25" s="8">
        <f>SUM(C23:E23)</f>
        <v>0.49206349206349209</v>
      </c>
      <c r="H25" s="8">
        <f>SUM(H21:J21)</f>
        <v>0.96666666666666656</v>
      </c>
      <c r="I25" s="8">
        <f>SUM(H22:J22)</f>
        <v>1.6880952380952379</v>
      </c>
      <c r="J25" s="8">
        <f>SUM(H23:J23)</f>
        <v>0.36865079365079362</v>
      </c>
      <c r="M25" s="8">
        <f>SUM(M21:O21)</f>
        <v>2.1428571428571423</v>
      </c>
      <c r="N25" s="8">
        <f>SUM(M22:O22)</f>
        <v>0.42857142857142855</v>
      </c>
      <c r="O25" s="8">
        <f>SUM(M23:O23)</f>
        <v>0.42857142857142855</v>
      </c>
      <c r="R25" s="8">
        <f>SUM(R21:T21)</f>
        <v>1.6112422047211599</v>
      </c>
      <c r="S25" s="8">
        <f>SUM(R22:T22)</f>
        <v>0.93000875637260139</v>
      </c>
      <c r="T25" s="8">
        <f>SUM(R23:T23)</f>
        <v>0.45895872109442437</v>
      </c>
    </row>
    <row r="26" spans="1:21" hidden="1" x14ac:dyDescent="0.2"/>
    <row r="27" spans="1:21" hidden="1" x14ac:dyDescent="0.2">
      <c r="C27" s="8">
        <f>E15</f>
        <v>0.53896103896103897</v>
      </c>
      <c r="D27" s="8">
        <f>E16</f>
        <v>0.29725829725829728</v>
      </c>
      <c r="E27" s="8">
        <f>E17</f>
        <v>0.16378066378066378</v>
      </c>
      <c r="H27" s="8">
        <f>J15</f>
        <v>0.32023809523809521</v>
      </c>
      <c r="I27" s="8">
        <f>J16</f>
        <v>0.55714285714285705</v>
      </c>
      <c r="J27" s="8">
        <f>J17</f>
        <v>0.12261904761904761</v>
      </c>
      <c r="M27" s="8">
        <f>O15</f>
        <v>0.7142857142857143</v>
      </c>
      <c r="N27" s="8">
        <f>O16</f>
        <v>0.14285714285714285</v>
      </c>
      <c r="O27" s="8">
        <f>O17</f>
        <v>0.14285714285714285</v>
      </c>
      <c r="R27" s="8">
        <f>T15</f>
        <v>0.53703123581901535</v>
      </c>
      <c r="S27" s="8">
        <f>T16</f>
        <v>0.30998654389120311</v>
      </c>
      <c r="T27" s="8">
        <f>T17</f>
        <v>0.15298222028978137</v>
      </c>
    </row>
    <row r="28" spans="1:21" hidden="1" x14ac:dyDescent="0.2"/>
    <row r="29" spans="1:21" hidden="1" x14ac:dyDescent="0.2">
      <c r="C29" s="8">
        <f>C25/C27</f>
        <v>3.0147255689424366</v>
      </c>
      <c r="D29" s="8">
        <f t="shared" ref="D29:E29" si="33">D25/D27</f>
        <v>3.008495145631068</v>
      </c>
      <c r="E29" s="8">
        <f t="shared" si="33"/>
        <v>3.0044052863436126</v>
      </c>
      <c r="H29" s="8">
        <f>H25/H27</f>
        <v>3.0185873605947955</v>
      </c>
      <c r="I29" s="8">
        <f t="shared" ref="I29:J29" si="34">I25/I27</f>
        <v>3.0299145299145298</v>
      </c>
      <c r="J29" s="8">
        <f t="shared" si="34"/>
        <v>3.0064724919093848</v>
      </c>
      <c r="M29" s="8">
        <f>M25/M27</f>
        <v>2.9999999999999991</v>
      </c>
      <c r="N29" s="8">
        <f t="shared" ref="N29:O29" si="35">N25/N27</f>
        <v>3</v>
      </c>
      <c r="O29" s="8">
        <f t="shared" si="35"/>
        <v>3</v>
      </c>
      <c r="R29" s="8">
        <f>R25/R27</f>
        <v>3.0002765151339612</v>
      </c>
      <c r="S29" s="8">
        <f t="shared" ref="S29:T29" si="36">S25/S27</f>
        <v>3.0001584736497766</v>
      </c>
      <c r="T29" s="8">
        <f t="shared" si="36"/>
        <v>3.0000788341616262</v>
      </c>
    </row>
    <row r="30" spans="1:21" hidden="1" x14ac:dyDescent="0.2"/>
    <row r="31" spans="1:21" hidden="1" x14ac:dyDescent="0.2">
      <c r="D31" s="8" t="s">
        <v>20</v>
      </c>
      <c r="E31" s="8">
        <f>AVERAGE(C29:E29)</f>
        <v>3.0092086669723721</v>
      </c>
      <c r="I31" s="8" t="s">
        <v>20</v>
      </c>
      <c r="J31" s="8">
        <f>AVERAGE(H29:J29)</f>
        <v>3.0183247941395699</v>
      </c>
      <c r="N31" s="8" t="s">
        <v>20</v>
      </c>
      <c r="O31" s="8">
        <f>AVERAGE(M29:O29)</f>
        <v>3</v>
      </c>
      <c r="S31" s="8" t="s">
        <v>20</v>
      </c>
      <c r="T31" s="8">
        <f>AVERAGE(R29:T29)</f>
        <v>3.0001712743151217</v>
      </c>
    </row>
    <row r="32" spans="1:21" hidden="1" x14ac:dyDescent="0.2">
      <c r="D32" s="8" t="s">
        <v>21</v>
      </c>
      <c r="E32" s="8">
        <f>(E31-3)/2</f>
        <v>4.6043334861860519E-3</v>
      </c>
      <c r="I32" s="8" t="s">
        <v>21</v>
      </c>
      <c r="J32" s="8">
        <f>(J31-3)/2</f>
        <v>9.1623970697849444E-3</v>
      </c>
      <c r="N32" s="8" t="s">
        <v>21</v>
      </c>
      <c r="O32" s="8">
        <f>(O31-3)/2</f>
        <v>0</v>
      </c>
      <c r="S32" s="8" t="s">
        <v>21</v>
      </c>
      <c r="T32" s="8">
        <f>(T31-3)/2</f>
        <v>8.5637157560825017E-5</v>
      </c>
    </row>
    <row r="33" spans="4:20" x14ac:dyDescent="0.2">
      <c r="D33" s="8" t="s">
        <v>22</v>
      </c>
      <c r="E33" s="8">
        <f>E32/0.52</f>
        <v>8.8544874734347145E-3</v>
      </c>
      <c r="I33" s="8" t="s">
        <v>22</v>
      </c>
      <c r="J33" s="8">
        <f>J32/0.52</f>
        <v>1.7619994364971046E-2</v>
      </c>
      <c r="N33" s="8" t="s">
        <v>22</v>
      </c>
      <c r="O33" s="8">
        <f>O32/0.52</f>
        <v>0</v>
      </c>
      <c r="S33" s="8" t="s">
        <v>22</v>
      </c>
      <c r="T33" s="8">
        <f>T32/0.52</f>
        <v>1.6468684146312502E-4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065A-5774-AC42-B440-F5156F4B1EA9}">
  <dimension ref="A2:U33"/>
  <sheetViews>
    <sheetView topLeftCell="A4" zoomScale="125" workbookViewId="0">
      <selection activeCell="J20" sqref="J20"/>
    </sheetView>
  </sheetViews>
  <sheetFormatPr baseColWidth="10" defaultColWidth="8.83203125" defaultRowHeight="15" x14ac:dyDescent="0.2"/>
  <cols>
    <col min="2" max="20" width="18.6640625" customWidth="1"/>
  </cols>
  <sheetData>
    <row r="2" spans="1:2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ht="125" customHeight="1" x14ac:dyDescent="0.2">
      <c r="A3" s="33"/>
      <c r="B3" s="13"/>
      <c r="C3" s="13" t="str">
        <f>B4</f>
        <v>Klijenti samostalno pristupaju dokumentima i informacijama, čime se broj upita prema administraciji smanjuje za 30–40 %.</v>
      </c>
      <c r="D3" s="13" t="str">
        <f>B5</f>
        <v>Sve informacije razmjenjuju se digitalno i dostupne su u realnom vremenu, što skraćuje komunikaciju za 40 %.</v>
      </c>
      <c r="E3" s="13" t="str">
        <f>B6</f>
        <v>Pristup informacijama o programu i terminima je digitalan, čime se smanjuje broj dodatnih upita za 30 %.</v>
      </c>
      <c r="F3" s="33"/>
      <c r="G3" s="13"/>
      <c r="H3" s="13" t="str">
        <f>G4</f>
        <v>Klijenti samostalno pristupaju dokumentima i informacijama, čime se broj upita prema administraciji smanjuje za 30–40 %.</v>
      </c>
      <c r="I3" s="13" t="str">
        <f>G5</f>
        <v>Sve informacije razmjenjuju se digitalno i dostupne su u realnom vremenu, što skraćuje komunikaciju za 40 %.</v>
      </c>
      <c r="J3" s="13" t="str">
        <f>G6</f>
        <v>Pristup informacijama o programu i terminima je digitalan, čime se smanjuje broj dodatnih upita za 30 %.</v>
      </c>
      <c r="K3" s="33"/>
      <c r="L3" s="13"/>
      <c r="M3" s="13" t="str">
        <f>L4</f>
        <v>Klijenti samostalno pristupaju dokumentima i informacijama, čime se broj upita prema administraciji smanjuje za 30–40 %.</v>
      </c>
      <c r="N3" s="13" t="str">
        <f>L5</f>
        <v>Sve informacije razmjenjuju se digitalno i dostupne su u realnom vremenu, što skraćuje komunikaciju za 40 %.</v>
      </c>
      <c r="O3" s="13" t="str">
        <f>L6</f>
        <v>Pristup informacijama o programu i terminima je digitalan, čime se smanjuje broj dodatnih upita za 30 %.</v>
      </c>
      <c r="P3" s="33"/>
      <c r="Q3" s="13"/>
      <c r="R3" s="13" t="str">
        <f>Q4</f>
        <v>Klijenti samostalno pristupaju dokumentima i informacijama, čime se broj upita prema administraciji smanjuje za 30–40 %.</v>
      </c>
      <c r="S3" s="13" t="str">
        <f>Q5</f>
        <v>Sve informacije razmjenjuju se digitalno i dostupne su u realnom vremenu, što skraćuje komunikaciju za 40 %.</v>
      </c>
      <c r="T3" s="13" t="str">
        <f>Q6</f>
        <v>Pristup informacijama o programu i terminima je digitalan, čime se smanjuje broj dodatnih upita za 30 %.</v>
      </c>
      <c r="U3" s="33"/>
    </row>
    <row r="4" spans="1:21" ht="125" customHeight="1" x14ac:dyDescent="0.2">
      <c r="A4" s="33"/>
      <c r="B4" s="12" t="s">
        <v>178</v>
      </c>
      <c r="C4" s="13">
        <v>1</v>
      </c>
      <c r="D4" s="34">
        <v>0.33333333333333331</v>
      </c>
      <c r="E4" s="13">
        <v>2</v>
      </c>
      <c r="F4" s="33"/>
      <c r="G4" s="13" t="str">
        <f>B4</f>
        <v>Klijenti samostalno pristupaju dokumentima i informacijama, čime se broj upita prema administraciji smanjuje za 30–40 %.</v>
      </c>
      <c r="H4" s="13">
        <v>1</v>
      </c>
      <c r="I4" s="13">
        <v>2</v>
      </c>
      <c r="J4" s="13">
        <v>5</v>
      </c>
      <c r="K4" s="33"/>
      <c r="L4" s="13" t="str">
        <f>G4</f>
        <v>Klijenti samostalno pristupaju dokumentima i informacijama, čime se broj upita prema administraciji smanjuje za 30–40 %.</v>
      </c>
      <c r="M4" s="13">
        <v>1</v>
      </c>
      <c r="N4" s="13">
        <v>1</v>
      </c>
      <c r="O4" s="13">
        <v>3</v>
      </c>
      <c r="P4" s="33"/>
      <c r="Q4" s="13" t="str">
        <f>L4</f>
        <v>Klijenti samostalno pristupaju dokumentima i informacijama, čime se broj upita prema administraciji smanjuje za 30–40 %.</v>
      </c>
      <c r="R4" s="13">
        <f>GEOMEAN(C4,H4,M4)</f>
        <v>1</v>
      </c>
      <c r="S4" s="13">
        <f t="shared" ref="S4:T6" si="0">GEOMEAN(D4,I4,N4)</f>
        <v>0.87358046473629891</v>
      </c>
      <c r="T4" s="13">
        <f t="shared" si="0"/>
        <v>3.1072325059538586</v>
      </c>
      <c r="U4" s="33"/>
    </row>
    <row r="5" spans="1:21" ht="125" customHeight="1" x14ac:dyDescent="0.2">
      <c r="A5" s="33"/>
      <c r="B5" s="12" t="s">
        <v>179</v>
      </c>
      <c r="C5" s="13">
        <v>3</v>
      </c>
      <c r="D5" s="13">
        <v>1</v>
      </c>
      <c r="E5" s="13">
        <v>4</v>
      </c>
      <c r="F5" s="33"/>
      <c r="G5" s="13" t="str">
        <f t="shared" ref="G5:G6" si="1">B5</f>
        <v>Sve informacije razmjenjuju se digitalno i dostupne su u realnom vremenu, što skraćuje komunikaciju za 40 %.</v>
      </c>
      <c r="H5" s="34">
        <v>0.5</v>
      </c>
      <c r="I5" s="13">
        <v>1</v>
      </c>
      <c r="J5" s="13">
        <v>4</v>
      </c>
      <c r="K5" s="33"/>
      <c r="L5" s="13" t="str">
        <f t="shared" ref="L5:L6" si="2">G5</f>
        <v>Sve informacije razmjenjuju se digitalno i dostupne su u realnom vremenu, što skraćuje komunikaciju za 40 %.</v>
      </c>
      <c r="M5" s="13">
        <v>1</v>
      </c>
      <c r="N5" s="13">
        <v>1</v>
      </c>
      <c r="O5" s="13">
        <v>4</v>
      </c>
      <c r="P5" s="33"/>
      <c r="Q5" s="13" t="str">
        <f t="shared" ref="Q5:Q6" si="3">L5</f>
        <v>Sve informacije razmjenjuju se digitalno i dostupne su u realnom vremenu, što skraćuje komunikaciju za 40 %.</v>
      </c>
      <c r="R5" s="13">
        <f t="shared" ref="R5:R6" si="4">GEOMEAN(C5,H5,M5)</f>
        <v>1.1447142425533319</v>
      </c>
      <c r="S5" s="13">
        <f t="shared" si="0"/>
        <v>1</v>
      </c>
      <c r="T5" s="13">
        <f t="shared" si="0"/>
        <v>4</v>
      </c>
      <c r="U5" s="33"/>
    </row>
    <row r="6" spans="1:21" ht="125" customHeight="1" x14ac:dyDescent="0.2">
      <c r="A6" s="33"/>
      <c r="B6" s="12" t="s">
        <v>180</v>
      </c>
      <c r="C6" s="34">
        <v>0.5</v>
      </c>
      <c r="D6" s="34">
        <v>0.25</v>
      </c>
      <c r="E6" s="13">
        <v>1</v>
      </c>
      <c r="F6" s="33"/>
      <c r="G6" s="13" t="str">
        <f t="shared" si="1"/>
        <v>Pristup informacijama o programu i terminima je digitalan, čime se smanjuje broj dodatnih upita za 30 %.</v>
      </c>
      <c r="H6" s="34">
        <v>0.2</v>
      </c>
      <c r="I6" s="34">
        <v>0.25</v>
      </c>
      <c r="J6" s="13">
        <v>1</v>
      </c>
      <c r="K6" s="33"/>
      <c r="L6" s="13" t="str">
        <f t="shared" si="2"/>
        <v>Pristup informacijama o programu i terminima je digitalan, čime se smanjuje broj dodatnih upita za 30 %.</v>
      </c>
      <c r="M6" s="34">
        <v>0.33333333333333331</v>
      </c>
      <c r="N6" s="34">
        <v>0.25</v>
      </c>
      <c r="O6" s="13">
        <v>1</v>
      </c>
      <c r="P6" s="33"/>
      <c r="Q6" s="13" t="str">
        <f t="shared" si="3"/>
        <v>Pristup informacijama o programu i terminima je digitalan, čime se smanjuje broj dodatnih upita za 30 %.</v>
      </c>
      <c r="R6" s="13">
        <f t="shared" si="4"/>
        <v>0.32182979486854324</v>
      </c>
      <c r="S6" s="13">
        <f t="shared" si="0"/>
        <v>0.25</v>
      </c>
      <c r="T6" s="13">
        <f t="shared" si="0"/>
        <v>1</v>
      </c>
      <c r="U6" s="33"/>
    </row>
    <row r="7" spans="1:21" x14ac:dyDescent="0.2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idden="1" x14ac:dyDescent="0.2">
      <c r="C8" s="8">
        <f>SUM(C4:C6)</f>
        <v>4.5</v>
      </c>
      <c r="D8" s="8">
        <f t="shared" ref="D8:E8" si="5">SUM(D4:D6)</f>
        <v>1.5833333333333333</v>
      </c>
      <c r="E8" s="8">
        <f t="shared" si="5"/>
        <v>7</v>
      </c>
      <c r="H8" s="8">
        <f>SUM(H4:H6)</f>
        <v>1.7</v>
      </c>
      <c r="I8" s="8">
        <f t="shared" ref="I8:J8" si="6">SUM(I4:I6)</f>
        <v>3.25</v>
      </c>
      <c r="J8" s="8">
        <f t="shared" si="6"/>
        <v>10</v>
      </c>
      <c r="M8" s="8">
        <f>SUM(M4:M6)</f>
        <v>2.3333333333333335</v>
      </c>
      <c r="N8" s="8">
        <f t="shared" ref="N8:O8" si="7">SUM(N4:N6)</f>
        <v>2.25</v>
      </c>
      <c r="O8" s="8">
        <f t="shared" si="7"/>
        <v>8</v>
      </c>
      <c r="R8" s="8">
        <f>SUM(R4:R6)</f>
        <v>2.4665440374218748</v>
      </c>
      <c r="S8" s="8">
        <f t="shared" ref="S8:T8" si="8">SUM(S4:S6)</f>
        <v>2.1235804647362988</v>
      </c>
      <c r="T8" s="8">
        <f t="shared" si="8"/>
        <v>8.1072325059538581</v>
      </c>
    </row>
    <row r="9" spans="1:21" hidden="1" x14ac:dyDescent="0.2"/>
    <row r="10" spans="1:21" hidden="1" x14ac:dyDescent="0.2"/>
    <row r="11" spans="1:21" hidden="1" x14ac:dyDescent="0.2">
      <c r="C11" s="8">
        <f>C4/C$8</f>
        <v>0.22222222222222221</v>
      </c>
      <c r="D11" s="8">
        <f>D4/D$8</f>
        <v>0.21052631578947367</v>
      </c>
      <c r="E11" s="8">
        <f>E4/E$8</f>
        <v>0.2857142857142857</v>
      </c>
      <c r="H11" s="8">
        <f>H4/H$8</f>
        <v>0.58823529411764708</v>
      </c>
      <c r="I11" s="8">
        <f>I4/I$8</f>
        <v>0.61538461538461542</v>
      </c>
      <c r="J11" s="8">
        <f>J4/J$8</f>
        <v>0.5</v>
      </c>
      <c r="M11" s="8">
        <f>M4/M$8</f>
        <v>0.42857142857142855</v>
      </c>
      <c r="N11" s="8">
        <f>N4/N$8</f>
        <v>0.44444444444444442</v>
      </c>
      <c r="O11" s="8">
        <f>O4/O$8</f>
        <v>0.375</v>
      </c>
      <c r="R11" s="8">
        <f>R4/R$8</f>
        <v>0.40542556095825388</v>
      </c>
      <c r="S11" s="8">
        <f>S4/S$8</f>
        <v>0.41137149227108666</v>
      </c>
      <c r="T11" s="8">
        <f>T4/T$8</f>
        <v>0.38326673173267733</v>
      </c>
    </row>
    <row r="12" spans="1:21" hidden="1" x14ac:dyDescent="0.2">
      <c r="C12" s="8">
        <f t="shared" ref="C12:E13" si="9">C5/C$8</f>
        <v>0.66666666666666663</v>
      </c>
      <c r="D12" s="8">
        <f t="shared" si="9"/>
        <v>0.63157894736842113</v>
      </c>
      <c r="E12" s="8">
        <f t="shared" si="9"/>
        <v>0.5714285714285714</v>
      </c>
      <c r="H12" s="8">
        <f t="shared" ref="H12:J13" si="10">H5/H$8</f>
        <v>0.29411764705882354</v>
      </c>
      <c r="I12" s="8">
        <f t="shared" si="10"/>
        <v>0.30769230769230771</v>
      </c>
      <c r="J12" s="8">
        <f t="shared" si="10"/>
        <v>0.4</v>
      </c>
      <c r="M12" s="8">
        <f t="shared" ref="M12:O13" si="11">M5/M$8</f>
        <v>0.42857142857142855</v>
      </c>
      <c r="N12" s="8">
        <f t="shared" si="11"/>
        <v>0.44444444444444442</v>
      </c>
      <c r="O12" s="8">
        <f t="shared" si="11"/>
        <v>0.5</v>
      </c>
      <c r="R12" s="8">
        <f t="shared" ref="R12:T13" si="12">R5/R$8</f>
        <v>0.46409641392408729</v>
      </c>
      <c r="S12" s="8">
        <f t="shared" si="12"/>
        <v>0.47090280618313074</v>
      </c>
      <c r="T12" s="8">
        <f t="shared" si="12"/>
        <v>0.49338661461385819</v>
      </c>
    </row>
    <row r="13" spans="1:21" hidden="1" x14ac:dyDescent="0.2">
      <c r="C13" s="8">
        <f t="shared" si="9"/>
        <v>0.1111111111111111</v>
      </c>
      <c r="D13" s="8">
        <f t="shared" si="9"/>
        <v>0.15789473684210528</v>
      </c>
      <c r="E13" s="8">
        <f t="shared" si="9"/>
        <v>0.14285714285714285</v>
      </c>
      <c r="H13" s="8">
        <f t="shared" si="10"/>
        <v>0.11764705882352942</v>
      </c>
      <c r="I13" s="8">
        <f t="shared" si="10"/>
        <v>7.6923076923076927E-2</v>
      </c>
      <c r="J13" s="8">
        <f t="shared" si="10"/>
        <v>0.1</v>
      </c>
      <c r="M13" s="8">
        <f t="shared" si="11"/>
        <v>0.14285714285714285</v>
      </c>
      <c r="N13" s="8">
        <f t="shared" si="11"/>
        <v>0.1111111111111111</v>
      </c>
      <c r="O13" s="8">
        <f t="shared" si="11"/>
        <v>0.125</v>
      </c>
      <c r="R13" s="8">
        <f t="shared" si="12"/>
        <v>0.13047802511765894</v>
      </c>
      <c r="S13" s="8">
        <f t="shared" si="12"/>
        <v>0.11772570154578268</v>
      </c>
      <c r="T13" s="8">
        <f t="shared" si="12"/>
        <v>0.12334665365346455</v>
      </c>
    </row>
    <row r="14" spans="1:21" hidden="1" x14ac:dyDescent="0.2"/>
    <row r="15" spans="1:21" x14ac:dyDescent="0.2">
      <c r="D15" s="8" t="str">
        <f>B4</f>
        <v>Klijenti samostalno pristupaju dokumentima i informacijama, čime se broj upita prema administraciji smanjuje za 30–40 %.</v>
      </c>
      <c r="E15" s="8">
        <f>AVERAGE(C11:E11)</f>
        <v>0.23948760790866053</v>
      </c>
      <c r="I15" s="8" t="str">
        <f>G4</f>
        <v>Klijenti samostalno pristupaju dokumentima i informacijama, čime se broj upita prema administraciji smanjuje za 30–40 %.</v>
      </c>
      <c r="J15" s="8">
        <f>AVERAGE(H11:J11)</f>
        <v>0.56787330316742091</v>
      </c>
      <c r="N15" s="8" t="str">
        <f>L4</f>
        <v>Klijenti samostalno pristupaju dokumentima i informacijama, čime se broj upita prema administraciji smanjuje za 30–40 %.</v>
      </c>
      <c r="O15" s="8">
        <f>AVERAGE(M11:O11)</f>
        <v>0.41600529100529099</v>
      </c>
      <c r="S15" s="8" t="str">
        <f>Q4</f>
        <v>Klijenti samostalno pristupaju dokumentima i informacijama, čime se broj upita prema administraciji smanjuje za 30–40 %.</v>
      </c>
      <c r="T15" s="11">
        <f>AVERAGE(R11:T11)</f>
        <v>0.40002126165400592</v>
      </c>
    </row>
    <row r="16" spans="1:21" x14ac:dyDescent="0.2">
      <c r="D16" s="8" t="str">
        <f t="shared" ref="D16:D17" si="13">B5</f>
        <v>Sve informacije razmjenjuju se digitalno i dostupne su u realnom vremenu, što skraćuje komunikaciju za 40 %.</v>
      </c>
      <c r="E16" s="8">
        <f t="shared" ref="E16:E17" si="14">AVERAGE(C12:E12)</f>
        <v>0.62322472848788635</v>
      </c>
      <c r="I16" s="8" t="str">
        <f t="shared" ref="I16:I17" si="15">G5</f>
        <v>Sve informacije razmjenjuju se digitalno i dostupne su u realnom vremenu, što skraćuje komunikaciju za 40 %.</v>
      </c>
      <c r="J16" s="8">
        <f t="shared" ref="J16:J17" si="16">AVERAGE(H12:J12)</f>
        <v>0.33393665158371039</v>
      </c>
      <c r="N16" s="8" t="str">
        <f t="shared" ref="N16:N17" si="17">L5</f>
        <v>Sve informacije razmjenjuju se digitalno i dostupne su u realnom vremenu, što skraćuje komunikaciju za 40 %.</v>
      </c>
      <c r="O16" s="8">
        <f t="shared" ref="O16:O17" si="18">AVERAGE(M12:O12)</f>
        <v>0.45767195767195767</v>
      </c>
      <c r="S16" s="8" t="str">
        <f t="shared" ref="S16:S17" si="19">Q5</f>
        <v>Sve informacije razmjenjuju se digitalno i dostupne su u realnom vremenu, što skraćuje komunikaciju za 40 %.</v>
      </c>
      <c r="T16" s="11">
        <f t="shared" ref="T16:T17" si="20">AVERAGE(R12:T12)</f>
        <v>0.47612861157369207</v>
      </c>
    </row>
    <row r="17" spans="2:20" x14ac:dyDescent="0.2">
      <c r="D17" s="8" t="str">
        <f t="shared" si="13"/>
        <v>Pristup informacijama o programu i terminima je digitalan, čime se smanjuje broj dodatnih upita za 30 %.</v>
      </c>
      <c r="E17" s="8">
        <f t="shared" si="14"/>
        <v>0.13728766360345307</v>
      </c>
      <c r="I17" s="8" t="str">
        <f t="shared" si="15"/>
        <v>Pristup informacijama o programu i terminima je digitalan, čime se smanjuje broj dodatnih upita za 30 %.</v>
      </c>
      <c r="J17" s="8">
        <f t="shared" si="16"/>
        <v>9.8190045248868804E-2</v>
      </c>
      <c r="N17" s="8" t="str">
        <f t="shared" si="17"/>
        <v>Pristup informacijama o programu i terminima je digitalan, čime se smanjuje broj dodatnih upita za 30 %.</v>
      </c>
      <c r="O17" s="8">
        <f t="shared" si="18"/>
        <v>0.12632275132275131</v>
      </c>
      <c r="S17" s="8" t="str">
        <f t="shared" si="19"/>
        <v>Pristup informacijama o programu i terminima je digitalan, čime se smanjuje broj dodatnih upita za 30 %.</v>
      </c>
      <c r="T17" s="11">
        <f t="shared" si="20"/>
        <v>0.12385012677230206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0.23948760790866053</v>
      </c>
      <c r="D21" s="8">
        <f>D4*E$16</f>
        <v>0.20774157616262878</v>
      </c>
      <c r="E21" s="8">
        <f>E4*E$17</f>
        <v>0.27457532720690614</v>
      </c>
      <c r="H21" s="8">
        <f>H4*J$15</f>
        <v>0.56787330316742091</v>
      </c>
      <c r="I21" s="8">
        <f>I4*J$16</f>
        <v>0.66787330316742077</v>
      </c>
      <c r="J21" s="8">
        <f>J4*J$17</f>
        <v>0.49095022624434403</v>
      </c>
      <c r="M21" s="8">
        <f>M4*O$15</f>
        <v>0.41600529100529099</v>
      </c>
      <c r="N21" s="8">
        <f>N4*O$16</f>
        <v>0.45767195767195767</v>
      </c>
      <c r="O21" s="8">
        <f>O4*O$17</f>
        <v>0.37896825396825395</v>
      </c>
      <c r="R21" s="8">
        <f>R4*T$15</f>
        <v>0.40002126165400592</v>
      </c>
      <c r="S21" s="8">
        <f>S4*T$16</f>
        <v>0.41593665377279465</v>
      </c>
      <c r="T21" s="8">
        <f>T4*T$17</f>
        <v>0.38483113977340322</v>
      </c>
    </row>
    <row r="22" spans="2:20" hidden="1" x14ac:dyDescent="0.2">
      <c r="C22" s="8">
        <f t="shared" ref="C22:C23" si="21">C5*E$15</f>
        <v>0.71846282372598158</v>
      </c>
      <c r="D22" s="8">
        <f t="shared" ref="D22:D23" si="22">D5*E$16</f>
        <v>0.62322472848788635</v>
      </c>
      <c r="E22" s="8">
        <f t="shared" ref="E22:E23" si="23">E5*E$17</f>
        <v>0.54915065441381228</v>
      </c>
      <c r="H22" s="8">
        <f t="shared" ref="H22:H23" si="24">H5*J$15</f>
        <v>0.28393665158371045</v>
      </c>
      <c r="I22" s="8">
        <f t="shared" ref="I22:I23" si="25">I5*J$16</f>
        <v>0.33393665158371039</v>
      </c>
      <c r="J22" s="8">
        <f t="shared" ref="J22:J23" si="26">J5*J$17</f>
        <v>0.39276018099547522</v>
      </c>
      <c r="M22" s="8">
        <f t="shared" ref="M22:M23" si="27">M5*O$15</f>
        <v>0.41600529100529099</v>
      </c>
      <c r="N22" s="8">
        <f t="shared" ref="N22:N23" si="28">N5*O$16</f>
        <v>0.45767195767195767</v>
      </c>
      <c r="O22" s="8">
        <f t="shared" ref="O22:O23" si="29">O5*O$17</f>
        <v>0.50529100529100524</v>
      </c>
      <c r="R22" s="8">
        <f t="shared" ref="R22:R23" si="30">R5*T$15</f>
        <v>0.45791003553949355</v>
      </c>
      <c r="S22" s="8">
        <f t="shared" ref="S22:S23" si="31">S5*T$16</f>
        <v>0.47612861157369207</v>
      </c>
      <c r="T22" s="8">
        <f t="shared" ref="T22:T23" si="32">T5*T$17</f>
        <v>0.49540050708920824</v>
      </c>
    </row>
    <row r="23" spans="2:20" hidden="1" x14ac:dyDescent="0.2">
      <c r="C23" s="8">
        <f t="shared" si="21"/>
        <v>0.11974380395433026</v>
      </c>
      <c r="D23" s="8">
        <f t="shared" si="22"/>
        <v>0.15580618212197159</v>
      </c>
      <c r="E23" s="8">
        <f t="shared" si="23"/>
        <v>0.13728766360345307</v>
      </c>
      <c r="H23" s="8">
        <f t="shared" si="24"/>
        <v>0.11357466063348419</v>
      </c>
      <c r="I23" s="8">
        <f t="shared" si="25"/>
        <v>8.3484162895927597E-2</v>
      </c>
      <c r="J23" s="8">
        <f t="shared" si="26"/>
        <v>9.8190045248868804E-2</v>
      </c>
      <c r="M23" s="8">
        <f t="shared" si="27"/>
        <v>0.13866843033509699</v>
      </c>
      <c r="N23" s="8">
        <f t="shared" si="28"/>
        <v>0.11441798941798942</v>
      </c>
      <c r="O23" s="8">
        <f t="shared" si="29"/>
        <v>0.12632275132275131</v>
      </c>
      <c r="R23" s="8">
        <f t="shared" si="30"/>
        <v>0.1287387605811646</v>
      </c>
      <c r="S23" s="8">
        <f t="shared" si="31"/>
        <v>0.11903215289342302</v>
      </c>
      <c r="T23" s="8">
        <f t="shared" si="32"/>
        <v>0.12385012677230206</v>
      </c>
    </row>
    <row r="24" spans="2:20" hidden="1" x14ac:dyDescent="0.2"/>
    <row r="25" spans="2:20" hidden="1" x14ac:dyDescent="0.2">
      <c r="C25" s="8">
        <f>SUM(C21:E21)</f>
        <v>0.72180451127819545</v>
      </c>
      <c r="D25" s="8">
        <f>SUM(C22:E22)</f>
        <v>1.8908382066276801</v>
      </c>
      <c r="E25" s="8">
        <f>SUM(C23:E23)</f>
        <v>0.41283764967975495</v>
      </c>
      <c r="H25" s="8">
        <f>SUM(H21:J21)</f>
        <v>1.7266968325791856</v>
      </c>
      <c r="I25" s="8">
        <f>SUM(H22:J22)</f>
        <v>1.0106334841628961</v>
      </c>
      <c r="J25" s="8">
        <f>SUM(H23:J23)</f>
        <v>0.2952488687782806</v>
      </c>
      <c r="M25" s="8">
        <f>SUM(M21:O21)</f>
        <v>1.2526455026455026</v>
      </c>
      <c r="N25" s="8">
        <f>SUM(M22:O22)</f>
        <v>1.378968253968254</v>
      </c>
      <c r="O25" s="8">
        <f>SUM(M23:O23)</f>
        <v>0.37940917107583771</v>
      </c>
      <c r="R25" s="8">
        <f>SUM(R21:T21)</f>
        <v>1.2007890552002038</v>
      </c>
      <c r="S25" s="8">
        <f>SUM(R22:T22)</f>
        <v>1.4294391542023939</v>
      </c>
      <c r="T25" s="8">
        <f>SUM(R23:T23)</f>
        <v>0.37162104024688969</v>
      </c>
    </row>
    <row r="26" spans="2:20" hidden="1" x14ac:dyDescent="0.2"/>
    <row r="27" spans="2:20" hidden="1" x14ac:dyDescent="0.2">
      <c r="C27" s="8">
        <f>E15</f>
        <v>0.23948760790866053</v>
      </c>
      <c r="D27" s="8">
        <f>E16</f>
        <v>0.62322472848788635</v>
      </c>
      <c r="E27" s="8">
        <f>E17</f>
        <v>0.13728766360345307</v>
      </c>
      <c r="H27" s="8">
        <f>J15</f>
        <v>0.56787330316742091</v>
      </c>
      <c r="I27" s="8">
        <f>J16</f>
        <v>0.33393665158371039</v>
      </c>
      <c r="J27" s="8">
        <f>J17</f>
        <v>9.8190045248868804E-2</v>
      </c>
      <c r="M27" s="8">
        <f>O15</f>
        <v>0.41600529100529099</v>
      </c>
      <c r="N27" s="8">
        <f>O16</f>
        <v>0.45767195767195767</v>
      </c>
      <c r="O27" s="8">
        <f>O17</f>
        <v>0.12632275132275131</v>
      </c>
      <c r="R27" s="8">
        <f>T15</f>
        <v>0.40002126165400592</v>
      </c>
      <c r="S27" s="8">
        <f>T16</f>
        <v>0.47612861157369207</v>
      </c>
      <c r="T27" s="8">
        <f>T17</f>
        <v>0.12385012677230206</v>
      </c>
    </row>
    <row r="28" spans="2:20" hidden="1" x14ac:dyDescent="0.2"/>
    <row r="29" spans="2:20" hidden="1" x14ac:dyDescent="0.2">
      <c r="C29" s="8">
        <f>C25/C27</f>
        <v>3.0139534883720929</v>
      </c>
      <c r="D29" s="8">
        <f t="shared" ref="D29:E29" si="33">D25/D27</f>
        <v>3.0339588918677389</v>
      </c>
      <c r="E29" s="8">
        <f t="shared" si="33"/>
        <v>3.0070993914807302</v>
      </c>
      <c r="H29" s="8">
        <f>H25/H27</f>
        <v>3.0406374501992031</v>
      </c>
      <c r="I29" s="8">
        <f t="shared" ref="I29:J29" si="34">I25/I27</f>
        <v>3.0264227642276431</v>
      </c>
      <c r="J29" s="8">
        <f t="shared" si="34"/>
        <v>3.0069124423963132</v>
      </c>
      <c r="M29" s="8">
        <f>M25/M27</f>
        <v>3.0111287758346581</v>
      </c>
      <c r="N29" s="8">
        <f t="shared" ref="N29:O29" si="35">N25/N27</f>
        <v>3.0130057803468207</v>
      </c>
      <c r="O29" s="8">
        <f t="shared" si="35"/>
        <v>3.0034904013961605</v>
      </c>
      <c r="R29" s="8">
        <f>R25/R27</f>
        <v>3.0018130792228073</v>
      </c>
      <c r="S29" s="8">
        <f t="shared" ref="S29:T29" si="36">S25/S27</f>
        <v>3.0022122583178446</v>
      </c>
      <c r="T29" s="8">
        <f t="shared" si="36"/>
        <v>3.0005705277162407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3.0183372572401872</v>
      </c>
      <c r="I31" s="8" t="s">
        <v>20</v>
      </c>
      <c r="J31" s="8">
        <f>AVERAGE(H29:J29)</f>
        <v>3.0246575522743862</v>
      </c>
      <c r="N31" s="8" t="s">
        <v>20</v>
      </c>
      <c r="O31" s="8">
        <f>AVERAGE(M29:O29)</f>
        <v>3.0092083191925467</v>
      </c>
      <c r="S31" s="8" t="s">
        <v>20</v>
      </c>
      <c r="T31" s="8">
        <f>AVERAGE(R29:T29)</f>
        <v>3.0015319550856305</v>
      </c>
    </row>
    <row r="32" spans="2:20" hidden="1" x14ac:dyDescent="0.2">
      <c r="D32" s="8" t="s">
        <v>21</v>
      </c>
      <c r="E32" s="8">
        <f>(E31-3)/2</f>
        <v>9.1686286200935996E-3</v>
      </c>
      <c r="I32" s="8" t="s">
        <v>21</v>
      </c>
      <c r="J32" s="8">
        <f>(J31-3)/2</f>
        <v>1.2328776137193076E-2</v>
      </c>
      <c r="N32" s="8" t="s">
        <v>21</v>
      </c>
      <c r="O32" s="8">
        <f>(O31-3)/2</f>
        <v>4.6041595962733606E-3</v>
      </c>
      <c r="S32" s="8" t="s">
        <v>21</v>
      </c>
      <c r="T32" s="8">
        <f>(T31-3)/2</f>
        <v>7.6597754281526598E-4</v>
      </c>
    </row>
    <row r="33" spans="4:20" x14ac:dyDescent="0.2">
      <c r="D33" s="8" t="s">
        <v>22</v>
      </c>
      <c r="E33" s="8">
        <f>E32/0.52</f>
        <v>1.7631978115564613E-2</v>
      </c>
      <c r="I33" s="8" t="s">
        <v>22</v>
      </c>
      <c r="J33" s="8">
        <f>J32/0.52</f>
        <v>2.3709184879217454E-2</v>
      </c>
      <c r="N33" s="8" t="s">
        <v>22</v>
      </c>
      <c r="O33" s="8">
        <f>O32/0.52</f>
        <v>8.8541530697564628E-3</v>
      </c>
      <c r="S33" s="8" t="s">
        <v>22</v>
      </c>
      <c r="T33" s="8">
        <f>T32/0.52</f>
        <v>1.4730337361832037E-3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5D3C-7DF6-874C-B295-F569FADABDA7}">
  <dimension ref="A2:U33"/>
  <sheetViews>
    <sheetView zoomScale="75" workbookViewId="0">
      <selection activeCell="J20" sqref="J20"/>
    </sheetView>
  </sheetViews>
  <sheetFormatPr baseColWidth="10" defaultColWidth="8.83203125" defaultRowHeight="15" x14ac:dyDescent="0.2"/>
  <cols>
    <col min="2" max="20" width="16.83203125" customWidth="1"/>
  </cols>
  <sheetData>
    <row r="2" spans="1:2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ht="129" customHeight="1" x14ac:dyDescent="0.2">
      <c r="A3" s="33"/>
      <c r="B3" s="13"/>
      <c r="C3" s="13" t="str">
        <f>B4</f>
        <v>QR kod omogućuje klijentima trenutačan uvid u autentičnost certifikata i status postupka u 100 % slučajeva.</v>
      </c>
      <c r="D3" s="13" t="str">
        <f>B5</f>
        <v>Klijenti imaju uvid u tijek kontrole i zapise, čime se smanjuje potreba za dodatnim pojašnjenjima i dolascima.</v>
      </c>
      <c r="E3" s="13" t="str">
        <f>B6</f>
        <v>Klijenti unaprijed dobivaju digitalni plan aktivnosti, raspored i očekivane rezultate, što smanjuje nejasnoće.</v>
      </c>
      <c r="F3" s="33"/>
      <c r="G3" s="13"/>
      <c r="H3" s="13" t="str">
        <f>G4</f>
        <v>QR kod omogućuje klijentima trenutačan uvid u autentičnost certifikata i status postupka u 100 % slučajeva.</v>
      </c>
      <c r="I3" s="13" t="str">
        <f>G5</f>
        <v>Klijenti imaju uvid u tijek kontrole i zapise, čime se smanjuje potreba za dodatnim pojašnjenjima i dolascima.</v>
      </c>
      <c r="J3" s="13" t="str">
        <f>G6</f>
        <v>Klijenti unaprijed dobivaju digitalni plan aktivnosti, raspored i očekivane rezultate, što smanjuje nejasnoće.</v>
      </c>
      <c r="K3" s="33"/>
      <c r="L3" s="13"/>
      <c r="M3" s="13" t="str">
        <f>L4</f>
        <v>QR kod omogućuje klijentima trenutačan uvid u autentičnost certifikata i status postupka u 100 % slučajeva.</v>
      </c>
      <c r="N3" s="13" t="str">
        <f>L5</f>
        <v>Klijenti imaju uvid u tijek kontrole i zapise, čime se smanjuje potreba za dodatnim pojašnjenjima i dolascima.</v>
      </c>
      <c r="O3" s="13" t="str">
        <f>L6</f>
        <v>Klijenti unaprijed dobivaju digitalni plan aktivnosti, raspored i očekivane rezultate, što smanjuje nejasnoće.</v>
      </c>
      <c r="P3" s="33"/>
      <c r="Q3" s="13"/>
      <c r="R3" s="13" t="str">
        <f>Q4</f>
        <v>QR kod omogućuje klijentima trenutačan uvid u autentičnost certifikata i status postupka u 100 % slučajeva.</v>
      </c>
      <c r="S3" s="13" t="str">
        <f>Q5</f>
        <v>Klijenti imaju uvid u tijek kontrole i zapise, čime se smanjuje potreba za dodatnim pojašnjenjima i dolascima.</v>
      </c>
      <c r="T3" s="13" t="str">
        <f>Q6</f>
        <v>Klijenti unaprijed dobivaju digitalni plan aktivnosti, raspored i očekivane rezultate, što smanjuje nejasnoće.</v>
      </c>
      <c r="U3" s="33"/>
    </row>
    <row r="4" spans="1:21" ht="129" customHeight="1" x14ac:dyDescent="0.2">
      <c r="A4" s="33"/>
      <c r="B4" s="12" t="s">
        <v>181</v>
      </c>
      <c r="C4" s="13">
        <v>1</v>
      </c>
      <c r="D4" s="13">
        <v>5</v>
      </c>
      <c r="E4" s="13">
        <v>3</v>
      </c>
      <c r="F4" s="33"/>
      <c r="G4" s="13" t="str">
        <f>B4</f>
        <v>QR kod omogućuje klijentima trenutačan uvid u autentičnost certifikata i status postupka u 100 % slučajeva.</v>
      </c>
      <c r="H4" s="13">
        <v>1</v>
      </c>
      <c r="I4" s="34">
        <v>0.2</v>
      </c>
      <c r="J4" s="34">
        <v>0.33333333333333331</v>
      </c>
      <c r="K4" s="33"/>
      <c r="L4" s="13" t="str">
        <f>G4</f>
        <v>QR kod omogućuje klijentima trenutačan uvid u autentičnost certifikata i status postupka u 100 % slučajeva.</v>
      </c>
      <c r="M4" s="13">
        <v>1</v>
      </c>
      <c r="N4" s="13">
        <v>1</v>
      </c>
      <c r="O4" s="13">
        <v>4</v>
      </c>
      <c r="P4" s="33"/>
      <c r="Q4" s="13" t="str">
        <f>L4</f>
        <v>QR kod omogućuje klijentima trenutačan uvid u autentičnost certifikata i status postupka u 100 % slučajeva.</v>
      </c>
      <c r="R4" s="13">
        <f>GEOMEAN(C4,H4,M4)</f>
        <v>1</v>
      </c>
      <c r="S4" s="13">
        <f t="shared" ref="S4:T6" si="0">GEOMEAN(D4,I4,N4)</f>
        <v>1</v>
      </c>
      <c r="T4" s="13">
        <f t="shared" si="0"/>
        <v>1.5874010519681994</v>
      </c>
      <c r="U4" s="33"/>
    </row>
    <row r="5" spans="1:21" ht="129" customHeight="1" x14ac:dyDescent="0.2">
      <c r="A5" s="33"/>
      <c r="B5" s="12" t="s">
        <v>182</v>
      </c>
      <c r="C5" s="34">
        <v>0.2</v>
      </c>
      <c r="D5" s="13">
        <v>1</v>
      </c>
      <c r="E5" s="34">
        <v>0.5</v>
      </c>
      <c r="F5" s="33"/>
      <c r="G5" s="13" t="str">
        <f t="shared" ref="G5:G6" si="1">B5</f>
        <v>Klijenti imaju uvid u tijek kontrole i zapise, čime se smanjuje potreba za dodatnim pojašnjenjima i dolascima.</v>
      </c>
      <c r="H5" s="13">
        <v>5</v>
      </c>
      <c r="I5" s="13">
        <v>1</v>
      </c>
      <c r="J5" s="13">
        <v>3</v>
      </c>
      <c r="K5" s="33"/>
      <c r="L5" s="13" t="str">
        <f t="shared" ref="L5:L6" si="2">G5</f>
        <v>Klijenti imaju uvid u tijek kontrole i zapise, čime se smanjuje potreba za dodatnim pojašnjenjima i dolascima.</v>
      </c>
      <c r="M5" s="13">
        <v>1</v>
      </c>
      <c r="N5" s="13">
        <v>1</v>
      </c>
      <c r="O5" s="13">
        <v>5</v>
      </c>
      <c r="P5" s="33"/>
      <c r="Q5" s="13" t="str">
        <f t="shared" ref="Q5:Q6" si="3">L5</f>
        <v>Klijenti imaju uvid u tijek kontrole i zapise, čime se smanjuje potreba za dodatnim pojašnjenjima i dolascima.</v>
      </c>
      <c r="R5" s="13">
        <f t="shared" ref="R5:R6" si="4">GEOMEAN(C5,H5,M5)</f>
        <v>1</v>
      </c>
      <c r="S5" s="13">
        <f t="shared" si="0"/>
        <v>1</v>
      </c>
      <c r="T5" s="13">
        <f t="shared" si="0"/>
        <v>1.9574338205844317</v>
      </c>
      <c r="U5" s="33"/>
    </row>
    <row r="6" spans="1:21" ht="129" customHeight="1" x14ac:dyDescent="0.2">
      <c r="A6" s="33"/>
      <c r="B6" s="12" t="s">
        <v>183</v>
      </c>
      <c r="C6" s="34">
        <v>0.33333333333333331</v>
      </c>
      <c r="D6" s="13">
        <v>2</v>
      </c>
      <c r="E6" s="13">
        <v>1</v>
      </c>
      <c r="F6" s="33"/>
      <c r="G6" s="13" t="str">
        <f t="shared" si="1"/>
        <v>Klijenti unaprijed dobivaju digitalni plan aktivnosti, raspored i očekivane rezultate, što smanjuje nejasnoće.</v>
      </c>
      <c r="H6" s="13">
        <v>3</v>
      </c>
      <c r="I6" s="34">
        <v>0.33333333333333331</v>
      </c>
      <c r="J6" s="13">
        <v>1</v>
      </c>
      <c r="K6" s="33"/>
      <c r="L6" s="13" t="str">
        <f t="shared" si="2"/>
        <v>Klijenti unaprijed dobivaju digitalni plan aktivnosti, raspored i očekivane rezultate, što smanjuje nejasnoće.</v>
      </c>
      <c r="M6" s="34">
        <v>0.25</v>
      </c>
      <c r="N6" s="34">
        <v>0.2</v>
      </c>
      <c r="O6" s="13">
        <v>1</v>
      </c>
      <c r="P6" s="33"/>
      <c r="Q6" s="13" t="str">
        <f t="shared" si="3"/>
        <v>Klijenti unaprijed dobivaju digitalni plan aktivnosti, raspored i očekivane rezultate, što smanjuje nejasnoće.</v>
      </c>
      <c r="R6" s="13">
        <f t="shared" si="4"/>
        <v>0.6299605249474366</v>
      </c>
      <c r="S6" s="13">
        <f t="shared" si="0"/>
        <v>0.51087295492903539</v>
      </c>
      <c r="T6" s="13">
        <f t="shared" si="0"/>
        <v>1</v>
      </c>
      <c r="U6" s="33"/>
    </row>
    <row r="7" spans="1:21" x14ac:dyDescent="0.2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idden="1" x14ac:dyDescent="0.2">
      <c r="A8" s="33"/>
      <c r="B8" s="33"/>
      <c r="C8" s="13">
        <f>SUM(C4:C6)</f>
        <v>1.5333333333333332</v>
      </c>
      <c r="D8" s="13">
        <f t="shared" ref="D8:E8" si="5">SUM(D4:D6)</f>
        <v>8</v>
      </c>
      <c r="E8" s="13">
        <f t="shared" si="5"/>
        <v>4.5</v>
      </c>
      <c r="F8" s="33"/>
      <c r="G8" s="33"/>
      <c r="H8" s="13">
        <f>SUM(H4:H6)</f>
        <v>9</v>
      </c>
      <c r="I8" s="13">
        <f t="shared" ref="I8:J8" si="6">SUM(I4:I6)</f>
        <v>1.5333333333333332</v>
      </c>
      <c r="J8" s="13">
        <f t="shared" si="6"/>
        <v>4.3333333333333339</v>
      </c>
      <c r="K8" s="33"/>
      <c r="L8" s="33"/>
      <c r="M8" s="13">
        <f>SUM(M4:M6)</f>
        <v>2.25</v>
      </c>
      <c r="N8" s="13">
        <f t="shared" ref="N8:O8" si="7">SUM(N4:N6)</f>
        <v>2.2000000000000002</v>
      </c>
      <c r="O8" s="13">
        <f t="shared" si="7"/>
        <v>10</v>
      </c>
      <c r="P8" s="33"/>
      <c r="Q8" s="33"/>
      <c r="R8" s="13">
        <f>SUM(R4:R6)</f>
        <v>2.6299605249474367</v>
      </c>
      <c r="S8" s="13">
        <f t="shared" ref="S8:T8" si="8">SUM(S4:S6)</f>
        <v>2.5108729549290354</v>
      </c>
      <c r="T8" s="13">
        <f t="shared" si="8"/>
        <v>4.5448348725526309</v>
      </c>
      <c r="U8" s="33"/>
    </row>
    <row r="9" spans="1:21" hidden="1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 spans="1:21" hidden="1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</row>
    <row r="11" spans="1:21" hidden="1" x14ac:dyDescent="0.2">
      <c r="A11" s="33"/>
      <c r="B11" s="33"/>
      <c r="C11" s="13">
        <f>C4/C$8</f>
        <v>0.65217391304347827</v>
      </c>
      <c r="D11" s="13">
        <f>D4/D$8</f>
        <v>0.625</v>
      </c>
      <c r="E11" s="13">
        <f>E4/E$8</f>
        <v>0.66666666666666663</v>
      </c>
      <c r="F11" s="33"/>
      <c r="G11" s="33"/>
      <c r="H11" s="13">
        <f>H4/H$8</f>
        <v>0.1111111111111111</v>
      </c>
      <c r="I11" s="13">
        <f>I4/I$8</f>
        <v>0.13043478260869568</v>
      </c>
      <c r="J11" s="13">
        <f>J4/J$8</f>
        <v>7.6923076923076913E-2</v>
      </c>
      <c r="K11" s="33"/>
      <c r="L11" s="33"/>
      <c r="M11" s="13">
        <f>M4/M$8</f>
        <v>0.44444444444444442</v>
      </c>
      <c r="N11" s="13">
        <f>N4/N$8</f>
        <v>0.45454545454545453</v>
      </c>
      <c r="O11" s="13">
        <f>O4/O$8</f>
        <v>0.4</v>
      </c>
      <c r="P11" s="33"/>
      <c r="Q11" s="33"/>
      <c r="R11" s="13">
        <f>R4/R$8</f>
        <v>0.38023384401177895</v>
      </c>
      <c r="S11" s="13">
        <f>S4/S$8</f>
        <v>0.39826786060080166</v>
      </c>
      <c r="T11" s="13">
        <f>T4/T$8</f>
        <v>0.34927584752416474</v>
      </c>
      <c r="U11" s="33"/>
    </row>
    <row r="12" spans="1:21" hidden="1" x14ac:dyDescent="0.2">
      <c r="A12" s="33"/>
      <c r="B12" s="33"/>
      <c r="C12" s="13">
        <f t="shared" ref="C12:E13" si="9">C5/C$8</f>
        <v>0.13043478260869568</v>
      </c>
      <c r="D12" s="13">
        <f t="shared" si="9"/>
        <v>0.125</v>
      </c>
      <c r="E12" s="13">
        <f t="shared" si="9"/>
        <v>0.1111111111111111</v>
      </c>
      <c r="F12" s="33"/>
      <c r="G12" s="33"/>
      <c r="H12" s="13">
        <f t="shared" ref="H12:J13" si="10">H5/H$8</f>
        <v>0.55555555555555558</v>
      </c>
      <c r="I12" s="13">
        <f t="shared" si="10"/>
        <v>0.65217391304347827</v>
      </c>
      <c r="J12" s="13">
        <f t="shared" si="10"/>
        <v>0.69230769230769218</v>
      </c>
      <c r="K12" s="33"/>
      <c r="L12" s="33"/>
      <c r="M12" s="13">
        <f t="shared" ref="M12:O13" si="11">M5/M$8</f>
        <v>0.44444444444444442</v>
      </c>
      <c r="N12" s="13">
        <f t="shared" si="11"/>
        <v>0.45454545454545453</v>
      </c>
      <c r="O12" s="13">
        <f t="shared" si="11"/>
        <v>0.5</v>
      </c>
      <c r="P12" s="33"/>
      <c r="Q12" s="33"/>
      <c r="R12" s="13">
        <f t="shared" ref="R12:T13" si="12">R5/R$8</f>
        <v>0.38023384401177895</v>
      </c>
      <c r="S12" s="13">
        <f t="shared" si="12"/>
        <v>0.39826786060080166</v>
      </c>
      <c r="T12" s="13">
        <f t="shared" si="12"/>
        <v>0.43069415621805168</v>
      </c>
      <c r="U12" s="33"/>
    </row>
    <row r="13" spans="1:21" hidden="1" x14ac:dyDescent="0.2">
      <c r="A13" s="33"/>
      <c r="B13" s="33"/>
      <c r="C13" s="13">
        <f t="shared" si="9"/>
        <v>0.21739130434782608</v>
      </c>
      <c r="D13" s="13">
        <f t="shared" si="9"/>
        <v>0.25</v>
      </c>
      <c r="E13" s="13">
        <f t="shared" si="9"/>
        <v>0.22222222222222221</v>
      </c>
      <c r="F13" s="33"/>
      <c r="G13" s="33"/>
      <c r="H13" s="13">
        <f t="shared" si="10"/>
        <v>0.33333333333333331</v>
      </c>
      <c r="I13" s="13">
        <f t="shared" si="10"/>
        <v>0.21739130434782608</v>
      </c>
      <c r="J13" s="13">
        <f t="shared" si="10"/>
        <v>0.23076923076923073</v>
      </c>
      <c r="K13" s="33"/>
      <c r="L13" s="33"/>
      <c r="M13" s="13">
        <f t="shared" si="11"/>
        <v>0.1111111111111111</v>
      </c>
      <c r="N13" s="13">
        <f t="shared" si="11"/>
        <v>9.0909090909090912E-2</v>
      </c>
      <c r="O13" s="13">
        <f t="shared" si="11"/>
        <v>0.1</v>
      </c>
      <c r="P13" s="33"/>
      <c r="Q13" s="33"/>
      <c r="R13" s="13">
        <f t="shared" si="12"/>
        <v>0.23953231197644201</v>
      </c>
      <c r="S13" s="13">
        <f t="shared" si="12"/>
        <v>0.20346427879839668</v>
      </c>
      <c r="T13" s="13">
        <f t="shared" si="12"/>
        <v>0.22002999625778366</v>
      </c>
      <c r="U13" s="33"/>
    </row>
    <row r="14" spans="1:21" hidden="1" x14ac:dyDescent="0.2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x14ac:dyDescent="0.2">
      <c r="A15" s="33"/>
      <c r="D15" s="8" t="str">
        <f>B4</f>
        <v>QR kod omogućuje klijentima trenutačan uvid u autentičnost certifikata i status postupka u 100 % slučajeva.</v>
      </c>
      <c r="E15" s="8">
        <f>AVERAGE(C11:E11)</f>
        <v>0.64794685990338163</v>
      </c>
      <c r="I15" s="8" t="str">
        <f>G4</f>
        <v>QR kod omogućuje klijentima trenutačan uvid u autentičnost certifikata i status postupka u 100 % slučajeva.</v>
      </c>
      <c r="J15" s="8">
        <f>AVERAGE(H11:J11)</f>
        <v>0.1061563235476279</v>
      </c>
      <c r="N15" s="8" t="str">
        <f>L4</f>
        <v>QR kod omogućuje klijentima trenutačan uvid u autentičnost certifikata i status postupka u 100 % slučajeva.</v>
      </c>
      <c r="O15" s="8">
        <f>AVERAGE(M11:O11)</f>
        <v>0.43299663299663305</v>
      </c>
      <c r="S15" s="8" t="str">
        <f>Q4</f>
        <v>QR kod omogućuje klijentima trenutačan uvid u autentičnost certifikata i status postupka u 100 % slučajeva.</v>
      </c>
      <c r="T15" s="11">
        <f>AVERAGE(R11:T11)</f>
        <v>0.37592585071224843</v>
      </c>
    </row>
    <row r="16" spans="1:21" x14ac:dyDescent="0.2">
      <c r="A16" s="33"/>
      <c r="D16" s="8" t="str">
        <f t="shared" ref="D16:D17" si="13">B5</f>
        <v>Klijenti imaju uvid u tijek kontrole i zapise, čime se smanjuje potreba za dodatnim pojašnjenjima i dolascima.</v>
      </c>
      <c r="E16" s="8">
        <f t="shared" ref="E16:E17" si="14">AVERAGE(C12:E12)</f>
        <v>0.12218196457326892</v>
      </c>
      <c r="I16" s="8" t="str">
        <f t="shared" ref="I16:I17" si="15">G5</f>
        <v>Klijenti imaju uvid u tijek kontrole i zapise, čime se smanjuje potreba za dodatnim pojašnjenjima i dolascima.</v>
      </c>
      <c r="J16" s="8">
        <f t="shared" ref="J16:J17" si="16">AVERAGE(H12:J12)</f>
        <v>0.63334572030224201</v>
      </c>
      <c r="N16" s="8" t="str">
        <f t="shared" ref="N16:N17" si="17">L5</f>
        <v>Klijenti imaju uvid u tijek kontrole i zapise, čime se smanjuje potreba za dodatnim pojašnjenjima i dolascima.</v>
      </c>
      <c r="O16" s="8">
        <f t="shared" ref="O16:O17" si="18">AVERAGE(M12:O12)</f>
        <v>0.46632996632996632</v>
      </c>
      <c r="S16" s="8" t="str">
        <f t="shared" ref="S16:S17" si="19">Q5</f>
        <v>Klijenti imaju uvid u tijek kontrole i zapise, čime se smanjuje potreba za dodatnim pojašnjenjima i dolascima.</v>
      </c>
      <c r="T16" s="11">
        <f t="shared" ref="T16:T17" si="20">AVERAGE(R12:T12)</f>
        <v>0.4030652869435441</v>
      </c>
    </row>
    <row r="17" spans="1:21" x14ac:dyDescent="0.2">
      <c r="A17" s="33"/>
      <c r="D17" s="8" t="str">
        <f t="shared" si="13"/>
        <v>Klijenti unaprijed dobivaju digitalni plan aktivnosti, raspored i očekivane rezultate, što smanjuje nejasnoće.</v>
      </c>
      <c r="E17" s="8">
        <f t="shared" si="14"/>
        <v>0.22987117552334943</v>
      </c>
      <c r="I17" s="8" t="str">
        <f t="shared" si="15"/>
        <v>Klijenti unaprijed dobivaju digitalni plan aktivnosti, raspored i očekivane rezultate, što smanjuje nejasnoće.</v>
      </c>
      <c r="J17" s="8">
        <f t="shared" si="16"/>
        <v>0.26049795615013005</v>
      </c>
      <c r="N17" s="8" t="str">
        <f t="shared" si="17"/>
        <v>Klijenti unaprijed dobivaju digitalni plan aktivnosti, raspored i očekivane rezultate, što smanjuje nejasnoće.</v>
      </c>
      <c r="O17" s="8">
        <f t="shared" si="18"/>
        <v>0.10067340067340068</v>
      </c>
      <c r="S17" s="8" t="str">
        <f t="shared" si="19"/>
        <v>Klijenti unaprijed dobivaju digitalni plan aktivnosti, raspored i očekivane rezultate, što smanjuje nejasnoće.</v>
      </c>
      <c r="T17" s="11">
        <f t="shared" si="20"/>
        <v>0.22100886234420744</v>
      </c>
    </row>
    <row r="18" spans="1:2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1:21" x14ac:dyDescent="0.2">
      <c r="B19" t="s">
        <v>19</v>
      </c>
      <c r="G19" t="s">
        <v>19</v>
      </c>
      <c r="L19" t="s">
        <v>19</v>
      </c>
      <c r="Q19" t="s">
        <v>19</v>
      </c>
    </row>
    <row r="21" spans="1:21" hidden="1" x14ac:dyDescent="0.2">
      <c r="C21" s="8">
        <f>C4*E$15</f>
        <v>0.64794685990338163</v>
      </c>
      <c r="D21" s="8">
        <f>D4*E$16</f>
        <v>0.61090982286634465</v>
      </c>
      <c r="E21" s="8">
        <f>E4*E$17</f>
        <v>0.68961352657004826</v>
      </c>
      <c r="H21" s="8">
        <f>H4*J$15</f>
        <v>0.1061563235476279</v>
      </c>
      <c r="I21" s="8">
        <f>I4*J$16</f>
        <v>0.12666914406044841</v>
      </c>
      <c r="J21" s="8">
        <f>J4*J$17</f>
        <v>8.6832652050043341E-2</v>
      </c>
      <c r="M21" s="8">
        <f>M4*O$15</f>
        <v>0.43299663299663305</v>
      </c>
      <c r="N21" s="8">
        <f>N4*O$16</f>
        <v>0.46632996632996632</v>
      </c>
      <c r="O21" s="8">
        <f>O4*O$17</f>
        <v>0.40269360269360271</v>
      </c>
      <c r="R21" s="8">
        <f>R4*T$15</f>
        <v>0.37592585071224843</v>
      </c>
      <c r="S21" s="8">
        <f>S4*T$16</f>
        <v>0.4030652869435441</v>
      </c>
      <c r="T21" s="8">
        <f>T4*T$17</f>
        <v>0.35082970057948987</v>
      </c>
    </row>
    <row r="22" spans="1:21" hidden="1" x14ac:dyDescent="0.2">
      <c r="C22" s="8">
        <f t="shared" ref="C22:C23" si="21">C5*E$15</f>
        <v>0.12958937198067633</v>
      </c>
      <c r="D22" s="8">
        <f t="shared" ref="D22:D23" si="22">D5*E$16</f>
        <v>0.12218196457326892</v>
      </c>
      <c r="E22" s="8">
        <f t="shared" ref="E22:E23" si="23">E5*E$17</f>
        <v>0.11493558776167472</v>
      </c>
      <c r="H22" s="8">
        <f t="shared" ref="H22:H23" si="24">H5*J$15</f>
        <v>0.53078161773813948</v>
      </c>
      <c r="I22" s="8">
        <f t="shared" ref="I22:I23" si="25">I5*J$16</f>
        <v>0.63334572030224201</v>
      </c>
      <c r="J22" s="8">
        <f t="shared" ref="J22:J23" si="26">J5*J$17</f>
        <v>0.78149386845039015</v>
      </c>
      <c r="M22" s="8">
        <f t="shared" ref="M22:M23" si="27">M5*O$15</f>
        <v>0.43299663299663305</v>
      </c>
      <c r="N22" s="8">
        <f t="shared" ref="N22:N23" si="28">N5*O$16</f>
        <v>0.46632996632996632</v>
      </c>
      <c r="O22" s="8">
        <f t="shared" ref="O22:O23" si="29">O5*O$17</f>
        <v>0.50336700336700335</v>
      </c>
      <c r="R22" s="8">
        <f t="shared" ref="R22:R23" si="30">R5*T$15</f>
        <v>0.37592585071224843</v>
      </c>
      <c r="S22" s="8">
        <f t="shared" ref="S22:S23" si="31">S5*T$16</f>
        <v>0.4030652869435441</v>
      </c>
      <c r="T22" s="8">
        <f t="shared" ref="T22:T23" si="32">T5*T$17</f>
        <v>0.43261022180144071</v>
      </c>
    </row>
    <row r="23" spans="1:21" hidden="1" x14ac:dyDescent="0.2">
      <c r="C23" s="8">
        <f t="shared" si="21"/>
        <v>0.21598228663446054</v>
      </c>
      <c r="D23" s="8">
        <f t="shared" si="22"/>
        <v>0.24436392914653784</v>
      </c>
      <c r="E23" s="8">
        <f t="shared" si="23"/>
        <v>0.22987117552334943</v>
      </c>
      <c r="H23" s="8">
        <f t="shared" si="24"/>
        <v>0.31846897064288371</v>
      </c>
      <c r="I23" s="8">
        <f t="shared" si="25"/>
        <v>0.21111524010074734</v>
      </c>
      <c r="J23" s="8">
        <f t="shared" si="26"/>
        <v>0.26049795615013005</v>
      </c>
      <c r="M23" s="8">
        <f t="shared" si="27"/>
        <v>0.10824915824915826</v>
      </c>
      <c r="N23" s="8">
        <f t="shared" si="28"/>
        <v>9.3265993265993274E-2</v>
      </c>
      <c r="O23" s="8">
        <f t="shared" si="29"/>
        <v>0.10067340067340068</v>
      </c>
      <c r="R23" s="8">
        <f t="shared" si="30"/>
        <v>0.23681844625599971</v>
      </c>
      <c r="S23" s="8">
        <f t="shared" si="31"/>
        <v>0.20591515417016792</v>
      </c>
      <c r="T23" s="8">
        <f t="shared" si="32"/>
        <v>0.22100886234420744</v>
      </c>
    </row>
    <row r="24" spans="1:21" hidden="1" x14ac:dyDescent="0.2"/>
    <row r="25" spans="1:21" hidden="1" x14ac:dyDescent="0.2">
      <c r="C25" s="8">
        <f>SUM(C21:E21)</f>
        <v>1.9484702093397746</v>
      </c>
      <c r="D25" s="8">
        <f>SUM(C22:E22)</f>
        <v>0.36670692431561996</v>
      </c>
      <c r="E25" s="8">
        <f>SUM(C23:E23)</f>
        <v>0.69021739130434778</v>
      </c>
      <c r="H25" s="8">
        <f>SUM(H21:J21)</f>
        <v>0.31965811965811963</v>
      </c>
      <c r="I25" s="8">
        <f>SUM(H22:J22)</f>
        <v>1.9456212064907716</v>
      </c>
      <c r="J25" s="8">
        <f>SUM(H23:J23)</f>
        <v>0.7900821668937611</v>
      </c>
      <c r="M25" s="8">
        <f>SUM(M21:O21)</f>
        <v>1.3020202020202021</v>
      </c>
      <c r="N25" s="8">
        <f>SUM(M22:O22)</f>
        <v>1.4026936026936028</v>
      </c>
      <c r="O25" s="8">
        <f>SUM(M23:O23)</f>
        <v>0.30218855218855223</v>
      </c>
      <c r="R25" s="8">
        <f>SUM(R21:T21)</f>
        <v>1.1298208382352823</v>
      </c>
      <c r="S25" s="8">
        <f>SUM(R22:T22)</f>
        <v>1.2116013594572332</v>
      </c>
      <c r="T25" s="8">
        <f>SUM(R23:T23)</f>
        <v>0.66374246277037507</v>
      </c>
    </row>
    <row r="26" spans="1:21" hidden="1" x14ac:dyDescent="0.2"/>
    <row r="27" spans="1:21" hidden="1" x14ac:dyDescent="0.2">
      <c r="C27" s="8">
        <f>E15</f>
        <v>0.64794685990338163</v>
      </c>
      <c r="D27" s="8">
        <f>E16</f>
        <v>0.12218196457326892</v>
      </c>
      <c r="E27" s="8">
        <f>E17</f>
        <v>0.22987117552334943</v>
      </c>
      <c r="H27" s="8">
        <f>J15</f>
        <v>0.1061563235476279</v>
      </c>
      <c r="I27" s="8">
        <f>J16</f>
        <v>0.63334572030224201</v>
      </c>
      <c r="J27" s="8">
        <f>J17</f>
        <v>0.26049795615013005</v>
      </c>
      <c r="M27" s="8">
        <f>O15</f>
        <v>0.43299663299663305</v>
      </c>
      <c r="N27" s="8">
        <f>O16</f>
        <v>0.46632996632996632</v>
      </c>
      <c r="O27" s="8">
        <f>O17</f>
        <v>0.10067340067340068</v>
      </c>
      <c r="R27" s="8">
        <f>T15</f>
        <v>0.37592585071224843</v>
      </c>
      <c r="S27" s="8">
        <f>T16</f>
        <v>0.4030652869435441</v>
      </c>
      <c r="T27" s="8">
        <f>T17</f>
        <v>0.22100886234420744</v>
      </c>
    </row>
    <row r="28" spans="1:21" hidden="1" x14ac:dyDescent="0.2"/>
    <row r="29" spans="1:21" hidden="1" x14ac:dyDescent="0.2">
      <c r="C29" s="8">
        <f>C25/C27</f>
        <v>3.0071450761105933</v>
      </c>
      <c r="D29" s="8">
        <f t="shared" ref="D29:E29" si="33">D25/D27</f>
        <v>3.0013179571663922</v>
      </c>
      <c r="E29" s="8">
        <f t="shared" si="33"/>
        <v>3.0026269702276704</v>
      </c>
      <c r="H29" s="8">
        <f>H25/H27</f>
        <v>3.0112018669778293</v>
      </c>
      <c r="I29" s="8">
        <f t="shared" ref="I29:J29" si="34">I25/I27</f>
        <v>3.0719734011343633</v>
      </c>
      <c r="J29" s="8">
        <f t="shared" si="34"/>
        <v>3.0329687747662071</v>
      </c>
      <c r="M29" s="8">
        <f>M25/M27</f>
        <v>3.0069984447900464</v>
      </c>
      <c r="N29" s="8">
        <f t="shared" ref="N29:O29" si="35">N25/N27</f>
        <v>3.0079422382671481</v>
      </c>
      <c r="O29" s="8">
        <f t="shared" si="35"/>
        <v>3.0016722408026757</v>
      </c>
      <c r="R29" s="8">
        <f>R25/R27</f>
        <v>3.0054353434185646</v>
      </c>
      <c r="S29" s="8">
        <f t="shared" ref="S29:T29" si="36">S25/S27</f>
        <v>3.0059680123903547</v>
      </c>
      <c r="T29" s="8">
        <f t="shared" si="36"/>
        <v>3.0032391268393472</v>
      </c>
    </row>
    <row r="30" spans="1:21" hidden="1" x14ac:dyDescent="0.2"/>
    <row r="31" spans="1:21" hidden="1" x14ac:dyDescent="0.2">
      <c r="D31" s="8" t="s">
        <v>20</v>
      </c>
      <c r="E31" s="8">
        <f>AVERAGE(C29:E29)</f>
        <v>3.0036966678348853</v>
      </c>
      <c r="I31" s="8" t="s">
        <v>20</v>
      </c>
      <c r="J31" s="8">
        <f>AVERAGE(H29:J29)</f>
        <v>3.0387146809594667</v>
      </c>
      <c r="N31" s="8" t="s">
        <v>20</v>
      </c>
      <c r="O31" s="8">
        <f>AVERAGE(M29:O29)</f>
        <v>3.0055376412866237</v>
      </c>
      <c r="S31" s="8" t="s">
        <v>20</v>
      </c>
      <c r="T31" s="8">
        <f>AVERAGE(R29:T29)</f>
        <v>3.0048808275494223</v>
      </c>
    </row>
    <row r="32" spans="1:21" hidden="1" x14ac:dyDescent="0.2">
      <c r="D32" s="8" t="s">
        <v>21</v>
      </c>
      <c r="E32" s="8">
        <f>(E31-3)/2</f>
        <v>1.8483339174426572E-3</v>
      </c>
      <c r="I32" s="8" t="s">
        <v>21</v>
      </c>
      <c r="J32" s="8">
        <f>(J31-3)/2</f>
        <v>1.9357340479733365E-2</v>
      </c>
      <c r="N32" s="8" t="s">
        <v>21</v>
      </c>
      <c r="O32" s="8">
        <f>(O31-3)/2</f>
        <v>2.7688206433118534E-3</v>
      </c>
      <c r="S32" s="8" t="s">
        <v>21</v>
      </c>
      <c r="T32" s="8">
        <f>(T31-3)/2</f>
        <v>2.4404137747111587E-3</v>
      </c>
    </row>
    <row r="33" spans="4:20" x14ac:dyDescent="0.2">
      <c r="D33" s="8" t="s">
        <v>22</v>
      </c>
      <c r="E33" s="8">
        <f>E32/0.52</f>
        <v>3.5544883027743405E-3</v>
      </c>
      <c r="I33" s="8" t="s">
        <v>22</v>
      </c>
      <c r="J33" s="8">
        <f>J32/0.52</f>
        <v>3.722565476871801E-2</v>
      </c>
      <c r="N33" s="8" t="s">
        <v>22</v>
      </c>
      <c r="O33" s="8">
        <f>O32/0.52</f>
        <v>5.3246550832920254E-3</v>
      </c>
      <c r="S33" s="8" t="s">
        <v>22</v>
      </c>
      <c r="T33" s="8">
        <f>T32/0.52</f>
        <v>4.6931034129060745E-3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8756-37FF-AA4B-A247-8579EC7FC139}">
  <dimension ref="A2:U33"/>
  <sheetViews>
    <sheetView zoomScale="83" workbookViewId="0">
      <selection activeCell="J20" sqref="J20"/>
    </sheetView>
  </sheetViews>
  <sheetFormatPr baseColWidth="10" defaultColWidth="8.83203125" defaultRowHeight="15" x14ac:dyDescent="0.2"/>
  <cols>
    <col min="2" max="20" width="18.83203125" customWidth="1"/>
  </cols>
  <sheetData>
    <row r="2" spans="1:2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ht="124" customHeight="1" x14ac:dyDescent="0.2">
      <c r="A3" s="33"/>
      <c r="B3" s="13"/>
      <c r="C3" s="13" t="str">
        <f>B4</f>
        <v>Proces zahtijeva 1 administrativnu osobu, umjesto dosadašnje 2–3, zahvaljujući automatizaciji.</v>
      </c>
      <c r="D3" s="13" t="str">
        <f>B5</f>
        <v>Jedan kontrolor može nadzirati 2–3 kontrole dnevno, dok je ranije mogao provesti samo jednu terensku kontrolu.</v>
      </c>
      <c r="E3" s="13" t="str">
        <f>B6</f>
        <v>Za provedbu je potrebno 2-3 edukatora ili voditelja aktivnosti, dok se administrativni dio obavlja bez dodatnog osoblja.</v>
      </c>
      <c r="F3" s="33"/>
      <c r="G3" s="13"/>
      <c r="H3" s="13" t="str">
        <f>G4</f>
        <v>Proces zahtijeva 1 administrativnu osobu, umjesto dosadašnje 2–3, zahvaljujući automatizaciji.</v>
      </c>
      <c r="I3" s="13" t="str">
        <f>G5</f>
        <v>Jedan kontrolor može nadzirati 2–3 kontrole dnevno, dok je ranije mogao provesti samo jednu terensku kontrolu.</v>
      </c>
      <c r="J3" s="13" t="str">
        <f>G6</f>
        <v>Za provedbu je potrebno 2-3 edukatora ili voditelja aktivnosti, dok se administrativni dio obavlja bez dodatnog osoblja.</v>
      </c>
      <c r="K3" s="33"/>
      <c r="L3" s="13"/>
      <c r="M3" s="13" t="str">
        <f>L4</f>
        <v>Proces zahtijeva 1 administrativnu osobu, umjesto dosadašnje 2–3, zahvaljujući automatizaciji.</v>
      </c>
      <c r="N3" s="13" t="str">
        <f>L5</f>
        <v>Jedan kontrolor može nadzirati 2–3 kontrole dnevno, dok je ranije mogao provesti samo jednu terensku kontrolu.</v>
      </c>
      <c r="O3" s="13" t="str">
        <f>L6</f>
        <v>Za provedbu je potrebno 2-3 edukatora ili voditelja aktivnosti, dok se administrativni dio obavlja bez dodatnog osoblja.</v>
      </c>
      <c r="P3" s="33"/>
      <c r="Q3" s="13"/>
      <c r="R3" s="13" t="str">
        <f>Q4</f>
        <v>Proces zahtijeva 1 administrativnu osobu, umjesto dosadašnje 2–3, zahvaljujući automatizaciji.</v>
      </c>
      <c r="S3" s="13" t="str">
        <f>Q5</f>
        <v>Jedan kontrolor može nadzirati 2–3 kontrole dnevno, dok je ranije mogao provesti samo jednu terensku kontrolu.</v>
      </c>
      <c r="T3" s="13" t="str">
        <f>Q6</f>
        <v>Za provedbu je potrebno 2-3 edukatora ili voditelja aktivnosti, dok se administrativni dio obavlja bez dodatnog osoblja.</v>
      </c>
      <c r="U3" s="33"/>
    </row>
    <row r="4" spans="1:21" ht="124" customHeight="1" x14ac:dyDescent="0.2">
      <c r="A4" s="33"/>
      <c r="B4" s="12" t="s">
        <v>184</v>
      </c>
      <c r="C4" s="13">
        <v>1</v>
      </c>
      <c r="D4" s="34">
        <v>0.33333333333333331</v>
      </c>
      <c r="E4" s="13">
        <v>3</v>
      </c>
      <c r="F4" s="33"/>
      <c r="G4" s="13" t="str">
        <f>B4</f>
        <v>Proces zahtijeva 1 administrativnu osobu, umjesto dosadašnje 2–3, zahvaljujući automatizaciji.</v>
      </c>
      <c r="H4" s="13">
        <v>1</v>
      </c>
      <c r="I4" s="13">
        <v>2</v>
      </c>
      <c r="J4" s="13">
        <v>5</v>
      </c>
      <c r="K4" s="33"/>
      <c r="L4" s="13" t="str">
        <f>G4</f>
        <v>Proces zahtijeva 1 administrativnu osobu, umjesto dosadašnje 2–3, zahvaljujući automatizaciji.</v>
      </c>
      <c r="M4" s="13">
        <v>1</v>
      </c>
      <c r="N4" s="34">
        <v>0.25</v>
      </c>
      <c r="O4" s="34">
        <v>0.33333333333333331</v>
      </c>
      <c r="P4" s="33"/>
      <c r="Q4" s="13" t="str">
        <f>L4</f>
        <v>Proces zahtijeva 1 administrativnu osobu, umjesto dosadašnje 2–3, zahvaljujući automatizaciji.</v>
      </c>
      <c r="R4" s="13">
        <f>GEOMEAN(C4,H4,M4)</f>
        <v>1</v>
      </c>
      <c r="S4" s="13">
        <f t="shared" ref="S4:T6" si="0">GEOMEAN(D4,I4,N4)</f>
        <v>0.55032120814910446</v>
      </c>
      <c r="T4" s="13">
        <f t="shared" si="0"/>
        <v>1.7099759466766968</v>
      </c>
      <c r="U4" s="33"/>
    </row>
    <row r="5" spans="1:21" ht="124" customHeight="1" x14ac:dyDescent="0.2">
      <c r="A5" s="33"/>
      <c r="B5" s="12" t="s">
        <v>185</v>
      </c>
      <c r="C5" s="13">
        <v>3</v>
      </c>
      <c r="D5" s="13">
        <v>1</v>
      </c>
      <c r="E5" s="13">
        <v>5</v>
      </c>
      <c r="F5" s="33"/>
      <c r="G5" s="13" t="str">
        <f t="shared" ref="G5:G6" si="1">B5</f>
        <v>Jedan kontrolor može nadzirati 2–3 kontrole dnevno, dok je ranije mogao provesti samo jednu terensku kontrolu.</v>
      </c>
      <c r="H5" s="34">
        <v>0.5</v>
      </c>
      <c r="I5" s="13">
        <v>1</v>
      </c>
      <c r="J5" s="13">
        <v>3</v>
      </c>
      <c r="K5" s="33"/>
      <c r="L5" s="13" t="str">
        <f t="shared" ref="L5:L6" si="2">G5</f>
        <v>Jedan kontrolor može nadzirati 2–3 kontrole dnevno, dok je ranije mogao provesti samo jednu terensku kontrolu.</v>
      </c>
      <c r="M5" s="13">
        <v>4</v>
      </c>
      <c r="N5" s="13">
        <v>1</v>
      </c>
      <c r="O5" s="13">
        <v>2</v>
      </c>
      <c r="P5" s="33"/>
      <c r="Q5" s="13" t="str">
        <f t="shared" ref="Q5:Q6" si="3">L5</f>
        <v>Jedan kontrolor može nadzirati 2–3 kontrole dnevno, dok je ranije mogao provesti samo jednu terensku kontrolu.</v>
      </c>
      <c r="R5" s="13">
        <f t="shared" ref="R5:R6" si="4">GEOMEAN(C5,H5,M5)</f>
        <v>1.8171205928321397</v>
      </c>
      <c r="S5" s="13">
        <f t="shared" si="0"/>
        <v>1</v>
      </c>
      <c r="T5" s="13">
        <f t="shared" si="0"/>
        <v>3.1072325059538586</v>
      </c>
      <c r="U5" s="33"/>
    </row>
    <row r="6" spans="1:21" ht="124" customHeight="1" x14ac:dyDescent="0.2">
      <c r="A6" s="33"/>
      <c r="B6" s="12" t="s">
        <v>186</v>
      </c>
      <c r="C6" s="34">
        <v>0.33333333333333331</v>
      </c>
      <c r="D6" s="34">
        <v>0.2</v>
      </c>
      <c r="E6" s="13">
        <v>1</v>
      </c>
      <c r="F6" s="33"/>
      <c r="G6" s="13" t="str">
        <f t="shared" si="1"/>
        <v>Za provedbu je potrebno 2-3 edukatora ili voditelja aktivnosti, dok se administrativni dio obavlja bez dodatnog osoblja.</v>
      </c>
      <c r="H6" s="34">
        <v>0.2</v>
      </c>
      <c r="I6" s="34">
        <v>0.33333333333333331</v>
      </c>
      <c r="J6" s="13">
        <v>1</v>
      </c>
      <c r="K6" s="33"/>
      <c r="L6" s="13" t="str">
        <f t="shared" si="2"/>
        <v>Za provedbu je potrebno 2-3 edukatora ili voditelja aktivnosti, dok se administrativni dio obavlja bez dodatnog osoblja.</v>
      </c>
      <c r="M6" s="13">
        <v>3</v>
      </c>
      <c r="N6" s="34">
        <v>0.5</v>
      </c>
      <c r="O6" s="13">
        <v>1</v>
      </c>
      <c r="P6" s="33"/>
      <c r="Q6" s="13" t="str">
        <f t="shared" si="3"/>
        <v>Za provedbu je potrebno 2-3 edukatora ili voditelja aktivnosti, dok se administrativni dio obavlja bez dodatnog osoblja.</v>
      </c>
      <c r="R6" s="13">
        <f t="shared" si="4"/>
        <v>0.58480354764257325</v>
      </c>
      <c r="S6" s="13">
        <f t="shared" si="0"/>
        <v>0.32182979486854324</v>
      </c>
      <c r="T6" s="13">
        <f t="shared" si="0"/>
        <v>1</v>
      </c>
      <c r="U6" s="33"/>
    </row>
    <row r="7" spans="1:21" x14ac:dyDescent="0.2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idden="1" x14ac:dyDescent="0.2">
      <c r="C8" s="8">
        <f>SUM(C4:C6)</f>
        <v>4.333333333333333</v>
      </c>
      <c r="D8" s="8">
        <f t="shared" ref="D8:E8" si="5">SUM(D4:D6)</f>
        <v>1.5333333333333332</v>
      </c>
      <c r="E8" s="8">
        <f t="shared" si="5"/>
        <v>9</v>
      </c>
      <c r="H8" s="8">
        <f>SUM(H4:H6)</f>
        <v>1.7</v>
      </c>
      <c r="I8" s="8">
        <f t="shared" ref="I8:J8" si="6">SUM(I4:I6)</f>
        <v>3.3333333333333335</v>
      </c>
      <c r="J8" s="8">
        <f t="shared" si="6"/>
        <v>9</v>
      </c>
      <c r="M8" s="8">
        <f>SUM(M4:M6)</f>
        <v>8</v>
      </c>
      <c r="N8" s="8">
        <f t="shared" ref="N8:O8" si="7">SUM(N4:N6)</f>
        <v>1.75</v>
      </c>
      <c r="O8" s="8">
        <f t="shared" si="7"/>
        <v>3.3333333333333335</v>
      </c>
      <c r="R8" s="8">
        <f>SUM(R4:R6)</f>
        <v>3.4019241404747129</v>
      </c>
      <c r="S8" s="8">
        <f t="shared" ref="S8:T8" si="8">SUM(S4:S6)</f>
        <v>1.8721510030176476</v>
      </c>
      <c r="T8" s="8">
        <f t="shared" si="8"/>
        <v>5.8172084526305552</v>
      </c>
    </row>
    <row r="9" spans="1:21" hidden="1" x14ac:dyDescent="0.2"/>
    <row r="10" spans="1:21" hidden="1" x14ac:dyDescent="0.2"/>
    <row r="11" spans="1:21" hidden="1" x14ac:dyDescent="0.2">
      <c r="C11" s="8">
        <f>C4/C$8</f>
        <v>0.23076923076923078</v>
      </c>
      <c r="D11" s="8">
        <f>D4/D$8</f>
        <v>0.21739130434782608</v>
      </c>
      <c r="E11" s="8">
        <f>E4/E$8</f>
        <v>0.33333333333333331</v>
      </c>
      <c r="H11" s="8">
        <f>H4/H$8</f>
        <v>0.58823529411764708</v>
      </c>
      <c r="I11" s="8">
        <f>I4/I$8</f>
        <v>0.6</v>
      </c>
      <c r="J11" s="8">
        <f>J4/J$8</f>
        <v>0.55555555555555558</v>
      </c>
      <c r="M11" s="8">
        <f>M4/M$8</f>
        <v>0.125</v>
      </c>
      <c r="N11" s="8">
        <f>N4/N$8</f>
        <v>0.14285714285714285</v>
      </c>
      <c r="O11" s="8">
        <f>O4/O$8</f>
        <v>9.9999999999999992E-2</v>
      </c>
      <c r="R11" s="8">
        <f>R4/R$8</f>
        <v>0.29395129306453538</v>
      </c>
      <c r="S11" s="8">
        <f>S4/S$8</f>
        <v>0.29395129306453543</v>
      </c>
      <c r="T11" s="8">
        <f>T4/T$8</f>
        <v>0.29395129306453538</v>
      </c>
    </row>
    <row r="12" spans="1:21" hidden="1" x14ac:dyDescent="0.2">
      <c r="C12" s="8">
        <f t="shared" ref="C12:E13" si="9">C5/C$8</f>
        <v>0.6923076923076924</v>
      </c>
      <c r="D12" s="8">
        <f t="shared" si="9"/>
        <v>0.65217391304347827</v>
      </c>
      <c r="E12" s="8">
        <f t="shared" si="9"/>
        <v>0.55555555555555558</v>
      </c>
      <c r="H12" s="8">
        <f t="shared" ref="H12:J13" si="10">H5/H$8</f>
        <v>0.29411764705882354</v>
      </c>
      <c r="I12" s="8">
        <f t="shared" si="10"/>
        <v>0.3</v>
      </c>
      <c r="J12" s="8">
        <f t="shared" si="10"/>
        <v>0.33333333333333331</v>
      </c>
      <c r="M12" s="8">
        <f t="shared" ref="M12:O13" si="11">M5/M$8</f>
        <v>0.5</v>
      </c>
      <c r="N12" s="8">
        <f t="shared" si="11"/>
        <v>0.5714285714285714</v>
      </c>
      <c r="O12" s="8">
        <f t="shared" si="11"/>
        <v>0.6</v>
      </c>
      <c r="R12" s="8">
        <f t="shared" ref="R12:T13" si="12">R5/R$8</f>
        <v>0.53414494791720257</v>
      </c>
      <c r="S12" s="8">
        <f t="shared" si="12"/>
        <v>0.53414494791720257</v>
      </c>
      <c r="T12" s="8">
        <f t="shared" si="12"/>
        <v>0.53414494791720257</v>
      </c>
    </row>
    <row r="13" spans="1:21" hidden="1" x14ac:dyDescent="0.2">
      <c r="C13" s="8">
        <f t="shared" si="9"/>
        <v>7.6923076923076927E-2</v>
      </c>
      <c r="D13" s="8">
        <f t="shared" si="9"/>
        <v>0.13043478260869568</v>
      </c>
      <c r="E13" s="8">
        <f t="shared" si="9"/>
        <v>0.1111111111111111</v>
      </c>
      <c r="H13" s="8">
        <f t="shared" si="10"/>
        <v>0.11764705882352942</v>
      </c>
      <c r="I13" s="8">
        <f t="shared" si="10"/>
        <v>9.9999999999999992E-2</v>
      </c>
      <c r="J13" s="8">
        <f t="shared" si="10"/>
        <v>0.1111111111111111</v>
      </c>
      <c r="M13" s="8">
        <f t="shared" si="11"/>
        <v>0.375</v>
      </c>
      <c r="N13" s="8">
        <f t="shared" si="11"/>
        <v>0.2857142857142857</v>
      </c>
      <c r="O13" s="8">
        <f t="shared" si="11"/>
        <v>0.3</v>
      </c>
      <c r="R13" s="8">
        <f t="shared" si="12"/>
        <v>0.17190375901826205</v>
      </c>
      <c r="S13" s="8">
        <f t="shared" si="12"/>
        <v>0.17190375901826202</v>
      </c>
      <c r="T13" s="8">
        <f t="shared" si="12"/>
        <v>0.17190375901826205</v>
      </c>
    </row>
    <row r="14" spans="1:21" hidden="1" x14ac:dyDescent="0.2"/>
    <row r="15" spans="1:21" x14ac:dyDescent="0.2">
      <c r="D15" s="8" t="str">
        <f>B4</f>
        <v>Proces zahtijeva 1 administrativnu osobu, umjesto dosadašnje 2–3, zahvaljujući automatizaciji.</v>
      </c>
      <c r="E15" s="8">
        <f>AVERAGE(C11:E11)</f>
        <v>0.26049795615013011</v>
      </c>
      <c r="I15" s="8" t="str">
        <f>G4</f>
        <v>Proces zahtijeva 1 administrativnu osobu, umjesto dosadašnje 2–3, zahvaljujući automatizaciji.</v>
      </c>
      <c r="J15" s="8">
        <f>AVERAGE(H11:J11)</f>
        <v>0.58126361655773418</v>
      </c>
      <c r="N15" s="8" t="str">
        <f>L4</f>
        <v>Proces zahtijeva 1 administrativnu osobu, umjesto dosadašnje 2–3, zahvaljujući automatizaciji.</v>
      </c>
      <c r="O15" s="8">
        <f>AVERAGE(M11:O11)</f>
        <v>0.12261904761904761</v>
      </c>
      <c r="S15" s="8" t="str">
        <f>Q4</f>
        <v>Proces zahtijeva 1 administrativnu osobu, umjesto dosadašnje 2–3, zahvaljujući automatizaciji.</v>
      </c>
      <c r="T15" s="11">
        <f>AVERAGE(R11:T11)</f>
        <v>0.29395129306453538</v>
      </c>
    </row>
    <row r="16" spans="1:21" x14ac:dyDescent="0.2">
      <c r="D16" s="8" t="str">
        <f t="shared" ref="D16:D17" si="13">B5</f>
        <v>Jedan kontrolor može nadzirati 2–3 kontrole dnevno, dok je ranije mogao provesti samo jednu terensku kontrolu.</v>
      </c>
      <c r="E16" s="8">
        <f t="shared" ref="E16:E17" si="14">AVERAGE(C12:E12)</f>
        <v>0.63334572030224201</v>
      </c>
      <c r="I16" s="8" t="str">
        <f t="shared" ref="I16:I17" si="15">G5</f>
        <v>Jedan kontrolor može nadzirati 2–3 kontrole dnevno, dok je ranije mogao provesti samo jednu terensku kontrolu.</v>
      </c>
      <c r="J16" s="8">
        <f t="shared" ref="J16:J17" si="16">AVERAGE(H12:J12)</f>
        <v>0.30915032679738563</v>
      </c>
      <c r="N16" s="8" t="str">
        <f t="shared" ref="N16:N17" si="17">L5</f>
        <v>Jedan kontrolor može nadzirati 2–3 kontrole dnevno, dok je ranije mogao provesti samo jednu terensku kontrolu.</v>
      </c>
      <c r="O16" s="8">
        <f t="shared" ref="O16:O17" si="18">AVERAGE(M12:O12)</f>
        <v>0.55714285714285705</v>
      </c>
      <c r="S16" s="8" t="str">
        <f t="shared" ref="S16:S17" si="19">Q5</f>
        <v>Jedan kontrolor može nadzirati 2–3 kontrole dnevno, dok je ranije mogao provesti samo jednu terensku kontrolu.</v>
      </c>
      <c r="T16" s="11">
        <f t="shared" ref="T16:T17" si="20">AVERAGE(R12:T12)</f>
        <v>0.53414494791720257</v>
      </c>
    </row>
    <row r="17" spans="2:20" x14ac:dyDescent="0.2">
      <c r="D17" s="8" t="str">
        <f t="shared" si="13"/>
        <v>Za provedbu je potrebno 2-3 edukatora ili voditelja aktivnosti, dok se administrativni dio obavlja bez dodatnog osoblja.</v>
      </c>
      <c r="E17" s="8">
        <f t="shared" si="14"/>
        <v>0.1061563235476279</v>
      </c>
      <c r="I17" s="8" t="str">
        <f t="shared" si="15"/>
        <v>Za provedbu je potrebno 2-3 edukatora ili voditelja aktivnosti, dok se administrativni dio obavlja bez dodatnog osoblja.</v>
      </c>
      <c r="J17" s="8">
        <f t="shared" si="16"/>
        <v>0.10958605664488018</v>
      </c>
      <c r="N17" s="8" t="str">
        <f t="shared" si="17"/>
        <v>Za provedbu je potrebno 2-3 edukatora ili voditelja aktivnosti, dok se administrativni dio obavlja bez dodatnog osoblja.</v>
      </c>
      <c r="O17" s="8">
        <f t="shared" si="18"/>
        <v>0.32023809523809521</v>
      </c>
      <c r="S17" s="8" t="str">
        <f t="shared" si="19"/>
        <v>Za provedbu je potrebno 2-3 edukatora ili voditelja aktivnosti, dok se administrativni dio obavlja bez dodatnog osoblja.</v>
      </c>
      <c r="T17" s="11">
        <f t="shared" si="20"/>
        <v>0.17190375901826205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0.26049795615013011</v>
      </c>
      <c r="D21" s="8">
        <f>D4*E$16</f>
        <v>0.21111524010074734</v>
      </c>
      <c r="E21" s="8">
        <f>E4*E$17</f>
        <v>0.31846897064288371</v>
      </c>
      <c r="H21" s="8">
        <f>H4*J$15</f>
        <v>0.58126361655773418</v>
      </c>
      <c r="I21" s="8">
        <f>I4*J$16</f>
        <v>0.61830065359477127</v>
      </c>
      <c r="J21" s="8">
        <f>J4*J$17</f>
        <v>0.54793028322440085</v>
      </c>
      <c r="M21" s="8">
        <f>M4*O$15</f>
        <v>0.12261904761904761</v>
      </c>
      <c r="N21" s="8">
        <f>N4*O$16</f>
        <v>0.13928571428571426</v>
      </c>
      <c r="O21" s="8">
        <f>O4*O$17</f>
        <v>0.10674603174603173</v>
      </c>
      <c r="R21" s="8">
        <f>R4*T$15</f>
        <v>0.29395129306453538</v>
      </c>
      <c r="S21" s="8">
        <f>S4*T$16</f>
        <v>0.29395129306453538</v>
      </c>
      <c r="T21" s="8">
        <f>T4*T$17</f>
        <v>0.29395129306453538</v>
      </c>
    </row>
    <row r="22" spans="2:20" hidden="1" x14ac:dyDescent="0.2">
      <c r="C22" s="8">
        <f t="shared" ref="C22:C23" si="21">C5*E$15</f>
        <v>0.78149386845039026</v>
      </c>
      <c r="D22" s="8">
        <f t="shared" ref="D22:D23" si="22">D5*E$16</f>
        <v>0.63334572030224201</v>
      </c>
      <c r="E22" s="8">
        <f t="shared" ref="E22:E23" si="23">E5*E$17</f>
        <v>0.53078161773813948</v>
      </c>
      <c r="H22" s="8">
        <f t="shared" ref="H22:H23" si="24">H5*J$15</f>
        <v>0.29063180827886709</v>
      </c>
      <c r="I22" s="8">
        <f t="shared" ref="I22:I23" si="25">I5*J$16</f>
        <v>0.30915032679738563</v>
      </c>
      <c r="J22" s="8">
        <f t="shared" ref="J22:J23" si="26">J5*J$17</f>
        <v>0.32875816993464052</v>
      </c>
      <c r="M22" s="8">
        <f t="shared" ref="M22:M23" si="27">M5*O$15</f>
        <v>0.49047619047619045</v>
      </c>
      <c r="N22" s="8">
        <f t="shared" ref="N22:N23" si="28">N5*O$16</f>
        <v>0.55714285714285705</v>
      </c>
      <c r="O22" s="8">
        <f t="shared" ref="O22:O23" si="29">O5*O$17</f>
        <v>0.64047619047619042</v>
      </c>
      <c r="R22" s="8">
        <f t="shared" ref="R22:R23" si="30">R5*T$15</f>
        <v>0.53414494791720257</v>
      </c>
      <c r="S22" s="8">
        <f t="shared" ref="S22:S23" si="31">S5*T$16</f>
        <v>0.53414494791720257</v>
      </c>
      <c r="T22" s="8">
        <f t="shared" ref="T22:T23" si="32">T5*T$17</f>
        <v>0.53414494791720257</v>
      </c>
    </row>
    <row r="23" spans="2:20" hidden="1" x14ac:dyDescent="0.2">
      <c r="C23" s="8">
        <f t="shared" si="21"/>
        <v>8.6832652050043369E-2</v>
      </c>
      <c r="D23" s="8">
        <f t="shared" si="22"/>
        <v>0.12666914406044841</v>
      </c>
      <c r="E23" s="8">
        <f t="shared" si="23"/>
        <v>0.1061563235476279</v>
      </c>
      <c r="H23" s="8">
        <f t="shared" si="24"/>
        <v>0.11625272331154685</v>
      </c>
      <c r="I23" s="8">
        <f t="shared" si="25"/>
        <v>0.10305010893246187</v>
      </c>
      <c r="J23" s="8">
        <f t="shared" si="26"/>
        <v>0.10958605664488018</v>
      </c>
      <c r="M23" s="8">
        <f t="shared" si="27"/>
        <v>0.36785714285714283</v>
      </c>
      <c r="N23" s="8">
        <f t="shared" si="28"/>
        <v>0.27857142857142853</v>
      </c>
      <c r="O23" s="8">
        <f t="shared" si="29"/>
        <v>0.32023809523809521</v>
      </c>
      <c r="R23" s="8">
        <f t="shared" si="30"/>
        <v>0.17190375901826202</v>
      </c>
      <c r="S23" s="8">
        <f t="shared" si="31"/>
        <v>0.17190375901826202</v>
      </c>
      <c r="T23" s="8">
        <f t="shared" si="32"/>
        <v>0.17190375901826205</v>
      </c>
    </row>
    <row r="24" spans="2:20" hidden="1" x14ac:dyDescent="0.2"/>
    <row r="25" spans="2:20" hidden="1" x14ac:dyDescent="0.2">
      <c r="C25" s="8">
        <f>SUM(C21:E21)</f>
        <v>0.79008216689376121</v>
      </c>
      <c r="D25" s="8">
        <f>SUM(C22:E22)</f>
        <v>1.9456212064907716</v>
      </c>
      <c r="E25" s="8">
        <f>SUM(C23:E23)</f>
        <v>0.31965811965811969</v>
      </c>
      <c r="H25" s="8">
        <f>SUM(H21:J21)</f>
        <v>1.7474945533769062</v>
      </c>
      <c r="I25" s="8">
        <f>SUM(H22:J22)</f>
        <v>0.92854030501089313</v>
      </c>
      <c r="J25" s="8">
        <f>SUM(H23:J23)</f>
        <v>0.3288888888888889</v>
      </c>
      <c r="M25" s="8">
        <f>SUM(M21:O21)</f>
        <v>0.36865079365079356</v>
      </c>
      <c r="N25" s="8">
        <f>SUM(M22:O22)</f>
        <v>1.6880952380952379</v>
      </c>
      <c r="O25" s="8">
        <f>SUM(M23:O23)</f>
        <v>0.96666666666666656</v>
      </c>
      <c r="R25" s="8">
        <f>SUM(R21:T21)</f>
        <v>0.88185387919360614</v>
      </c>
      <c r="S25" s="8">
        <f>SUM(R22:T22)</f>
        <v>1.6024348437516078</v>
      </c>
      <c r="T25" s="8">
        <f>SUM(R23:T23)</f>
        <v>0.51571127705478603</v>
      </c>
    </row>
    <row r="26" spans="2:20" hidden="1" x14ac:dyDescent="0.2"/>
    <row r="27" spans="2:20" hidden="1" x14ac:dyDescent="0.2">
      <c r="C27" s="8">
        <f>E15</f>
        <v>0.26049795615013011</v>
      </c>
      <c r="D27" s="8">
        <f>E16</f>
        <v>0.63334572030224201</v>
      </c>
      <c r="E27" s="8">
        <f>E17</f>
        <v>0.1061563235476279</v>
      </c>
      <c r="H27" s="8">
        <f>J15</f>
        <v>0.58126361655773418</v>
      </c>
      <c r="I27" s="8">
        <f>J16</f>
        <v>0.30915032679738563</v>
      </c>
      <c r="J27" s="8">
        <f>J17</f>
        <v>0.10958605664488018</v>
      </c>
      <c r="M27" s="8">
        <f>O15</f>
        <v>0.12261904761904761</v>
      </c>
      <c r="N27" s="8">
        <f>O16</f>
        <v>0.55714285714285705</v>
      </c>
      <c r="O27" s="8">
        <f>O17</f>
        <v>0.32023809523809521</v>
      </c>
      <c r="R27" s="8">
        <f>T15</f>
        <v>0.29395129306453538</v>
      </c>
      <c r="S27" s="8">
        <f>T16</f>
        <v>0.53414494791720257</v>
      </c>
      <c r="T27" s="8">
        <f>T17</f>
        <v>0.17190375901826205</v>
      </c>
    </row>
    <row r="28" spans="2:20" hidden="1" x14ac:dyDescent="0.2"/>
    <row r="29" spans="2:20" hidden="1" x14ac:dyDescent="0.2">
      <c r="C29" s="8">
        <f>C25/C27</f>
        <v>3.0329687747662071</v>
      </c>
      <c r="D29" s="8">
        <f t="shared" ref="D29:E29" si="33">D25/D27</f>
        <v>3.0719734011343633</v>
      </c>
      <c r="E29" s="8">
        <f t="shared" si="33"/>
        <v>3.0112018669778298</v>
      </c>
      <c r="H29" s="8">
        <f>H25/H27</f>
        <v>3.0063718140929536</v>
      </c>
      <c r="I29" s="8">
        <f t="shared" ref="I29:J29" si="34">I25/I27</f>
        <v>3.0035236081747705</v>
      </c>
      <c r="J29" s="8">
        <f t="shared" si="34"/>
        <v>3.0011928429423458</v>
      </c>
      <c r="M29" s="8">
        <f>M25/M27</f>
        <v>3.0064724919093844</v>
      </c>
      <c r="N29" s="8">
        <f t="shared" ref="N29:O29" si="35">N25/N27</f>
        <v>3.0299145299145298</v>
      </c>
      <c r="O29" s="8">
        <f t="shared" si="35"/>
        <v>3.0185873605947955</v>
      </c>
      <c r="R29" s="8">
        <f>R25/R27</f>
        <v>3</v>
      </c>
      <c r="S29" s="8">
        <f t="shared" ref="S29:T29" si="36">S25/S27</f>
        <v>3</v>
      </c>
      <c r="T29" s="8">
        <f t="shared" si="36"/>
        <v>2.9999999999999996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3.0387146809594667</v>
      </c>
      <c r="I31" s="8" t="s">
        <v>20</v>
      </c>
      <c r="J31" s="8">
        <f>AVERAGE(H29:J29)</f>
        <v>3.0036960884033568</v>
      </c>
      <c r="N31" s="8" t="s">
        <v>20</v>
      </c>
      <c r="O31" s="8">
        <f>AVERAGE(M29:O29)</f>
        <v>3.0183247941395699</v>
      </c>
      <c r="S31" s="8" t="s">
        <v>20</v>
      </c>
      <c r="T31" s="8">
        <f>AVERAGE(R29:T29)</f>
        <v>3</v>
      </c>
    </row>
    <row r="32" spans="2:20" hidden="1" x14ac:dyDescent="0.2">
      <c r="D32" s="8" t="s">
        <v>21</v>
      </c>
      <c r="E32" s="8">
        <f>(E31-3)/2</f>
        <v>1.9357340479733365E-2</v>
      </c>
      <c r="I32" s="8" t="s">
        <v>21</v>
      </c>
      <c r="J32" s="8">
        <f>(J31-3)/2</f>
        <v>1.8480442016783893E-3</v>
      </c>
      <c r="N32" s="8" t="s">
        <v>21</v>
      </c>
      <c r="O32" s="8">
        <f>(O31-3)/2</f>
        <v>9.1623970697849444E-3</v>
      </c>
      <c r="S32" s="8" t="s">
        <v>21</v>
      </c>
      <c r="T32" s="8">
        <f>(T31-3)/2</f>
        <v>0</v>
      </c>
    </row>
    <row r="33" spans="4:20" x14ac:dyDescent="0.2">
      <c r="D33" s="8" t="s">
        <v>22</v>
      </c>
      <c r="E33" s="8">
        <f>E32/0.52</f>
        <v>3.722565476871801E-2</v>
      </c>
      <c r="I33" s="8" t="s">
        <v>22</v>
      </c>
      <c r="J33" s="8">
        <f>J32/0.52</f>
        <v>3.5539311570738255E-3</v>
      </c>
      <c r="N33" s="8" t="s">
        <v>22</v>
      </c>
      <c r="O33" s="8">
        <f>O32/0.52</f>
        <v>1.7619994364971046E-2</v>
      </c>
      <c r="S33" s="8" t="s">
        <v>22</v>
      </c>
      <c r="T33" s="8">
        <f>T32/0.52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9FE4-A141-064A-8DE1-1BF8D2868C23}">
  <dimension ref="B3:T33"/>
  <sheetViews>
    <sheetView workbookViewId="0">
      <selection activeCell="J20" sqref="J20"/>
    </sheetView>
  </sheetViews>
  <sheetFormatPr baseColWidth="10" defaultColWidth="8.83203125" defaultRowHeight="15" x14ac:dyDescent="0.2"/>
  <cols>
    <col min="2" max="2" width="21" customWidth="1"/>
    <col min="3" max="3" width="21.83203125" customWidth="1"/>
    <col min="4" max="4" width="23.83203125" customWidth="1"/>
    <col min="5" max="5" width="20.5" customWidth="1"/>
    <col min="7" max="7" width="21.1640625" customWidth="1"/>
    <col min="8" max="8" width="19.33203125" customWidth="1"/>
    <col min="9" max="9" width="20.1640625" customWidth="1"/>
    <col min="10" max="10" width="16.83203125" customWidth="1"/>
    <col min="12" max="12" width="21.83203125" customWidth="1"/>
    <col min="13" max="13" width="22.1640625" customWidth="1"/>
    <col min="14" max="14" width="19" customWidth="1"/>
    <col min="15" max="15" width="21.5" customWidth="1"/>
    <col min="17" max="17" width="22.1640625" customWidth="1"/>
    <col min="18" max="18" width="18.33203125" customWidth="1"/>
    <col min="19" max="19" width="18" customWidth="1"/>
    <col min="20" max="20" width="17.1640625" customWidth="1"/>
  </cols>
  <sheetData>
    <row r="3" spans="2:20" ht="100.75" customHeight="1" x14ac:dyDescent="0.2">
      <c r="B3" s="8"/>
      <c r="C3" s="13" t="s">
        <v>187</v>
      </c>
      <c r="D3" s="13" t="s">
        <v>188</v>
      </c>
      <c r="E3" s="13" t="s">
        <v>189</v>
      </c>
      <c r="G3" s="8"/>
      <c r="H3" s="13" t="str">
        <f>G4</f>
        <v>Ručne operacije svedene su na manje od 20 % procesa, uglavnom u obliku nadzora i iznimnih provjera.</v>
      </c>
      <c r="I3" s="13" t="str">
        <f>G5</f>
        <v>Ručni rad smanjen je za približno 50 %, iako je i dalje potreban stručni nadzor tijekom procjene.</v>
      </c>
      <c r="J3" s="13" t="str">
        <f>G6</f>
        <v>Ručni rad je smanjen u fazi pripreme za oko 40 %, ali ostaje prisutan tijekom same provedbe.</v>
      </c>
      <c r="L3" s="8"/>
      <c r="M3" s="13" t="str">
        <f>L4</f>
        <v>Ručne operacije svedene su na manje od 20 % procesa, uglavnom u obliku nadzora i iznimnih provjera.</v>
      </c>
      <c r="N3" s="13" t="str">
        <f>L5</f>
        <v>Ručni rad smanjen je za približno 50 %, iako je i dalje potreban stručni nadzor tijekom procjene.</v>
      </c>
      <c r="O3" s="13" t="str">
        <f>L6</f>
        <v>Ručni rad je smanjen u fazi pripreme za oko 40 %, ali ostaje prisutan tijekom same provedbe.</v>
      </c>
      <c r="Q3" s="8"/>
      <c r="R3" s="13" t="str">
        <f>Q4</f>
        <v>Ručne operacije svedene su na manje od 20 % procesa, uglavnom u obliku nadzora i iznimnih provjera.</v>
      </c>
      <c r="S3" s="13" t="str">
        <f>Q5</f>
        <v>Ručni rad smanjen je za približno 50 %, iako je i dalje potreban stručni nadzor tijekom procjene.</v>
      </c>
      <c r="T3" s="13" t="str">
        <f>Q6</f>
        <v>Ručni rad je smanjen u fazi pripreme za oko 40 %, ali ostaje prisutan tijekom same provedbe.</v>
      </c>
    </row>
    <row r="4" spans="2:20" ht="121.25" customHeight="1" x14ac:dyDescent="0.2">
      <c r="B4" s="12" t="s">
        <v>187</v>
      </c>
      <c r="C4" s="8">
        <v>1</v>
      </c>
      <c r="D4" s="8">
        <v>1</v>
      </c>
      <c r="E4" s="8">
        <v>3</v>
      </c>
      <c r="G4" s="13" t="str">
        <f>B4</f>
        <v>Ručne operacije svedene su na manje od 20 % procesa, uglavnom u obliku nadzora i iznimnih provjera.</v>
      </c>
      <c r="H4" s="8">
        <v>1</v>
      </c>
      <c r="I4" s="8">
        <f>1/2</f>
        <v>0.5</v>
      </c>
      <c r="J4" s="8">
        <f>1/2</f>
        <v>0.5</v>
      </c>
      <c r="L4" s="13" t="str">
        <f>G4</f>
        <v>Ručne operacije svedene su na manje od 20 % procesa, uglavnom u obliku nadzora i iznimnih provjera.</v>
      </c>
      <c r="M4" s="8">
        <v>1</v>
      </c>
      <c r="N4" s="8">
        <v>1</v>
      </c>
      <c r="O4" s="8">
        <v>2</v>
      </c>
      <c r="Q4" s="13" t="str">
        <f>L4</f>
        <v>Ručne operacije svedene su na manje od 20 % procesa, uglavnom u obliku nadzora i iznimnih provjera.</v>
      </c>
      <c r="R4" s="8">
        <f>GEOMEAN(C4,H4,M4)</f>
        <v>1</v>
      </c>
      <c r="S4" s="8">
        <f t="shared" ref="S4:T6" si="0">GEOMEAN(D4,I4,N4)</f>
        <v>0.79370052598409979</v>
      </c>
      <c r="T4" s="8">
        <f t="shared" si="0"/>
        <v>1.4422495703074083</v>
      </c>
    </row>
    <row r="5" spans="2:20" ht="109.25" customHeight="1" x14ac:dyDescent="0.2">
      <c r="B5" s="12" t="s">
        <v>188</v>
      </c>
      <c r="C5" s="8">
        <v>1</v>
      </c>
      <c r="D5" s="8">
        <v>1</v>
      </c>
      <c r="E5" s="8">
        <v>2</v>
      </c>
      <c r="G5" s="13" t="str">
        <f t="shared" ref="G5:G6" si="1">B5</f>
        <v>Ručni rad smanjen je za približno 50 %, iako je i dalje potreban stručni nadzor tijekom procjene.</v>
      </c>
      <c r="H5" s="8">
        <v>2</v>
      </c>
      <c r="I5" s="8">
        <v>1</v>
      </c>
      <c r="J5" s="8">
        <f>1/2</f>
        <v>0.5</v>
      </c>
      <c r="L5" s="13" t="str">
        <f t="shared" ref="L5:L6" si="2">G5</f>
        <v>Ručni rad smanjen je za približno 50 %, iako je i dalje potreban stručni nadzor tijekom procjene.</v>
      </c>
      <c r="M5" s="8">
        <v>1</v>
      </c>
      <c r="N5" s="8">
        <v>1</v>
      </c>
      <c r="O5" s="8">
        <v>3</v>
      </c>
      <c r="Q5" s="13" t="str">
        <f t="shared" ref="Q5:Q6" si="3">L5</f>
        <v>Ručni rad smanjen je za približno 50 %, iako je i dalje potreban stručni nadzor tijekom procjene.</v>
      </c>
      <c r="R5" s="8">
        <f t="shared" ref="R5:R6" si="4">GEOMEAN(C5,H5,M5)</f>
        <v>1.2599210498948732</v>
      </c>
      <c r="S5" s="8">
        <f t="shared" si="0"/>
        <v>1</v>
      </c>
      <c r="T5" s="8">
        <f t="shared" si="0"/>
        <v>1.4422495703074083</v>
      </c>
    </row>
    <row r="6" spans="2:20" ht="97.25" customHeight="1" x14ac:dyDescent="0.2">
      <c r="B6" s="12" t="s">
        <v>189</v>
      </c>
      <c r="C6" s="8">
        <f>1/3</f>
        <v>0.33333333333333331</v>
      </c>
      <c r="D6" s="8">
        <f>1/2</f>
        <v>0.5</v>
      </c>
      <c r="E6" s="8">
        <v>1</v>
      </c>
      <c r="G6" s="13" t="str">
        <f t="shared" si="1"/>
        <v>Ručni rad je smanjen u fazi pripreme za oko 40 %, ali ostaje prisutan tijekom same provedbe.</v>
      </c>
      <c r="H6" s="8">
        <v>2</v>
      </c>
      <c r="I6" s="8">
        <v>2</v>
      </c>
      <c r="J6" s="8">
        <v>1</v>
      </c>
      <c r="L6" s="13" t="str">
        <f t="shared" si="2"/>
        <v>Ručni rad je smanjen u fazi pripreme za oko 40 %, ali ostaje prisutan tijekom same provedbe.</v>
      </c>
      <c r="M6" s="8">
        <f>1/2</f>
        <v>0.5</v>
      </c>
      <c r="N6" s="8">
        <f>1/3</f>
        <v>0.33333333333333331</v>
      </c>
      <c r="O6" s="8">
        <v>1</v>
      </c>
      <c r="Q6" s="13" t="str">
        <f t="shared" si="3"/>
        <v>Ručni rad je smanjen u fazi pripreme za oko 40 %, ali ostaje prisutan tijekom same provedbe.</v>
      </c>
      <c r="R6" s="8">
        <f t="shared" si="4"/>
        <v>0.69336127435063466</v>
      </c>
      <c r="S6" s="8">
        <f t="shared" si="0"/>
        <v>0.69336127435063466</v>
      </c>
      <c r="T6" s="8">
        <f t="shared" si="0"/>
        <v>1</v>
      </c>
    </row>
    <row r="8" spans="2:20" hidden="1" x14ac:dyDescent="0.2">
      <c r="C8" s="8">
        <f>SUM(C4:C6)</f>
        <v>2.3333333333333335</v>
      </c>
      <c r="D8" s="8">
        <f t="shared" ref="D8:E8" si="5">SUM(D4:D6)</f>
        <v>2.5</v>
      </c>
      <c r="E8" s="8">
        <f t="shared" si="5"/>
        <v>6</v>
      </c>
      <c r="H8" s="8">
        <f>SUM(H4:H6)</f>
        <v>5</v>
      </c>
      <c r="I8" s="8">
        <f t="shared" ref="I8:J8" si="6">SUM(I4:I6)</f>
        <v>3.5</v>
      </c>
      <c r="J8" s="8">
        <f t="shared" si="6"/>
        <v>2</v>
      </c>
      <c r="M8" s="8">
        <f>SUM(M4:M6)</f>
        <v>2.5</v>
      </c>
      <c r="N8" s="8">
        <f t="shared" ref="N8:O8" si="7">SUM(N4:N6)</f>
        <v>2.3333333333333335</v>
      </c>
      <c r="O8" s="8">
        <f t="shared" si="7"/>
        <v>6</v>
      </c>
      <c r="R8" s="8">
        <f>SUM(R4:R6)</f>
        <v>2.953282324245508</v>
      </c>
      <c r="S8" s="8">
        <f t="shared" ref="S8:T8" si="8">SUM(S4:S6)</f>
        <v>2.4870618003347342</v>
      </c>
      <c r="T8" s="8">
        <f t="shared" si="8"/>
        <v>3.8844991406148166</v>
      </c>
    </row>
    <row r="9" spans="2:20" hidden="1" x14ac:dyDescent="0.2"/>
    <row r="10" spans="2:20" hidden="1" x14ac:dyDescent="0.2"/>
    <row r="11" spans="2:20" hidden="1" x14ac:dyDescent="0.2">
      <c r="C11" s="8">
        <f>C4/C$8</f>
        <v>0.42857142857142855</v>
      </c>
      <c r="D11" s="8">
        <f>D4/D$8</f>
        <v>0.4</v>
      </c>
      <c r="E11" s="8">
        <f>E4/E$8</f>
        <v>0.5</v>
      </c>
      <c r="H11" s="8">
        <f>H4/H$8</f>
        <v>0.2</v>
      </c>
      <c r="I11" s="8">
        <f>I4/I$8</f>
        <v>0.14285714285714285</v>
      </c>
      <c r="J11" s="8">
        <f>J4/J$8</f>
        <v>0.25</v>
      </c>
      <c r="M11" s="8">
        <f>M4/M$8</f>
        <v>0.4</v>
      </c>
      <c r="N11" s="8">
        <f>N4/N$8</f>
        <v>0.42857142857142855</v>
      </c>
      <c r="O11" s="8">
        <f>O4/O$8</f>
        <v>0.33333333333333331</v>
      </c>
      <c r="R11" s="8">
        <f>R4/R$8</f>
        <v>0.33860629977375284</v>
      </c>
      <c r="S11" s="8">
        <f>S4/S$8</f>
        <v>0.31913180680804776</v>
      </c>
      <c r="T11" s="8">
        <f>T4/T$8</f>
        <v>0.371283276968144</v>
      </c>
    </row>
    <row r="12" spans="2:20" hidden="1" x14ac:dyDescent="0.2">
      <c r="C12" s="8">
        <f t="shared" ref="C12:E13" si="9">C5/C$8</f>
        <v>0.42857142857142855</v>
      </c>
      <c r="D12" s="8">
        <f t="shared" si="9"/>
        <v>0.4</v>
      </c>
      <c r="E12" s="8">
        <f t="shared" si="9"/>
        <v>0.33333333333333331</v>
      </c>
      <c r="H12" s="8">
        <f t="shared" ref="H12:J13" si="10">H5/H$8</f>
        <v>0.4</v>
      </c>
      <c r="I12" s="8">
        <f t="shared" si="10"/>
        <v>0.2857142857142857</v>
      </c>
      <c r="J12" s="8">
        <f t="shared" si="10"/>
        <v>0.25</v>
      </c>
      <c r="M12" s="8">
        <f t="shared" ref="M12:O13" si="11">M5/M$8</f>
        <v>0.4</v>
      </c>
      <c r="N12" s="8">
        <f t="shared" si="11"/>
        <v>0.42857142857142855</v>
      </c>
      <c r="O12" s="8">
        <f t="shared" si="11"/>
        <v>0.5</v>
      </c>
      <c r="R12" s="8">
        <f t="shared" ref="R12:T13" si="12">R5/R$8</f>
        <v>0.42661720471196485</v>
      </c>
      <c r="S12" s="8">
        <f t="shared" si="12"/>
        <v>0.40208088108844331</v>
      </c>
      <c r="T12" s="8">
        <f t="shared" si="12"/>
        <v>0.371283276968144</v>
      </c>
    </row>
    <row r="13" spans="2:20" hidden="1" x14ac:dyDescent="0.2">
      <c r="C13" s="8">
        <f t="shared" si="9"/>
        <v>0.14285714285714285</v>
      </c>
      <c r="D13" s="8">
        <f t="shared" si="9"/>
        <v>0.2</v>
      </c>
      <c r="E13" s="8">
        <f t="shared" si="9"/>
        <v>0.16666666666666666</v>
      </c>
      <c r="H13" s="8">
        <f t="shared" si="10"/>
        <v>0.4</v>
      </c>
      <c r="I13" s="8">
        <f t="shared" si="10"/>
        <v>0.5714285714285714</v>
      </c>
      <c r="J13" s="8">
        <f t="shared" si="10"/>
        <v>0.5</v>
      </c>
      <c r="M13" s="8">
        <f t="shared" si="11"/>
        <v>0.2</v>
      </c>
      <c r="N13" s="8">
        <f t="shared" si="11"/>
        <v>0.14285714285714285</v>
      </c>
      <c r="O13" s="8">
        <f t="shared" si="11"/>
        <v>0.16666666666666666</v>
      </c>
      <c r="R13" s="8">
        <f t="shared" si="12"/>
        <v>0.23477649551428229</v>
      </c>
      <c r="S13" s="8">
        <f t="shared" si="12"/>
        <v>0.27878731210350904</v>
      </c>
      <c r="T13" s="8">
        <f t="shared" si="12"/>
        <v>0.25743344606371199</v>
      </c>
    </row>
    <row r="14" spans="2:20" hidden="1" x14ac:dyDescent="0.2"/>
    <row r="15" spans="2:20" x14ac:dyDescent="0.2">
      <c r="D15" s="8" t="str">
        <f>B4</f>
        <v>Ručne operacije svedene su na manje od 20 % procesa, uglavnom u obliku nadzora i iznimnih provjera.</v>
      </c>
      <c r="E15" s="8">
        <f>AVERAGE(C11:E11)</f>
        <v>0.44285714285714284</v>
      </c>
      <c r="I15" s="8" t="str">
        <f>G4</f>
        <v>Ručne operacije svedene su na manje od 20 % procesa, uglavnom u obliku nadzora i iznimnih provjera.</v>
      </c>
      <c r="J15" s="8">
        <f>AVERAGE(H11:J11)</f>
        <v>0.19761904761904761</v>
      </c>
      <c r="N15" s="8" t="str">
        <f>L4</f>
        <v>Ručne operacije svedene su na manje od 20 % procesa, uglavnom u obliku nadzora i iznimnih provjera.</v>
      </c>
      <c r="O15" s="8">
        <f>AVERAGE(M11:O11)</f>
        <v>0.38730158730158726</v>
      </c>
      <c r="S15" s="8" t="str">
        <f>Q4</f>
        <v>Ručne operacije svedene su na manje od 20 % procesa, uglavnom u obliku nadzora i iznimnih provjera.</v>
      </c>
      <c r="T15" s="11">
        <f>AVERAGE(R11:T11)</f>
        <v>0.34300712784998155</v>
      </c>
    </row>
    <row r="16" spans="2:20" x14ac:dyDescent="0.2">
      <c r="D16" s="8" t="str">
        <f t="shared" ref="D16:D17" si="13">B5</f>
        <v>Ručni rad smanjen je za približno 50 %, iako je i dalje potreban stručni nadzor tijekom procjene.</v>
      </c>
      <c r="E16" s="8">
        <f t="shared" ref="E16:E17" si="14">AVERAGE(C12:E12)</f>
        <v>0.38730158730158726</v>
      </c>
      <c r="I16" s="8" t="str">
        <f t="shared" ref="I16:I17" si="15">G5</f>
        <v>Ručni rad smanjen je za približno 50 %, iako je i dalje potreban stručni nadzor tijekom procjene.</v>
      </c>
      <c r="J16" s="8">
        <f t="shared" ref="J16:J17" si="16">AVERAGE(H12:J12)</f>
        <v>0.31190476190476191</v>
      </c>
      <c r="N16" s="8" t="str">
        <f t="shared" ref="N16:N17" si="17">L5</f>
        <v>Ručni rad smanjen je za približno 50 %, iako je i dalje potreban stručni nadzor tijekom procjene.</v>
      </c>
      <c r="O16" s="8">
        <f t="shared" ref="O16:O17" si="18">AVERAGE(M12:O12)</f>
        <v>0.44285714285714284</v>
      </c>
      <c r="S16" s="8" t="str">
        <f t="shared" ref="S16:S17" si="19">Q5</f>
        <v>Ručni rad smanjen je za približno 50 %, iako je i dalje potreban stručni nadzor tijekom procjene.</v>
      </c>
      <c r="T16" s="11">
        <f t="shared" ref="T16:T17" si="20">AVERAGE(R12:T12)</f>
        <v>0.39999378758951742</v>
      </c>
    </row>
    <row r="17" spans="2:20" x14ac:dyDescent="0.2">
      <c r="D17" s="8" t="str">
        <f t="shared" si="13"/>
        <v>Ručni rad je smanjen u fazi pripreme za oko 40 %, ali ostaje prisutan tijekom same provedbe.</v>
      </c>
      <c r="E17" s="8">
        <f t="shared" si="14"/>
        <v>0.16984126984126982</v>
      </c>
      <c r="I17" s="8" t="str">
        <f t="shared" si="15"/>
        <v>Ručni rad je smanjen u fazi pripreme za oko 40 %, ali ostaje prisutan tijekom same provedbe.</v>
      </c>
      <c r="J17" s="8">
        <f t="shared" si="16"/>
        <v>0.49047619047619051</v>
      </c>
      <c r="N17" s="8" t="str">
        <f t="shared" si="17"/>
        <v>Ručni rad je smanjen u fazi pripreme za oko 40 %, ali ostaje prisutan tijekom same provedbe.</v>
      </c>
      <c r="O17" s="8">
        <f t="shared" si="18"/>
        <v>0.16984126984126982</v>
      </c>
      <c r="S17" s="8" t="str">
        <f t="shared" si="19"/>
        <v>Ručni rad je smanjen u fazi pripreme za oko 40 %, ali ostaje prisutan tijekom same provedbe.</v>
      </c>
      <c r="T17" s="11">
        <f t="shared" si="20"/>
        <v>0.25699908456050108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0.44285714285714284</v>
      </c>
      <c r="D21" s="8">
        <f>D4*E$16</f>
        <v>0.38730158730158726</v>
      </c>
      <c r="E21" s="8">
        <f>E4*E$17</f>
        <v>0.50952380952380949</v>
      </c>
      <c r="H21" s="8">
        <f>H4*J$15</f>
        <v>0.19761904761904761</v>
      </c>
      <c r="I21" s="8">
        <f>I4*J$16</f>
        <v>0.15595238095238095</v>
      </c>
      <c r="J21" s="8">
        <f>J4*J$17</f>
        <v>0.24523809523809526</v>
      </c>
      <c r="M21" s="8">
        <f>M4*O$15</f>
        <v>0.38730158730158726</v>
      </c>
      <c r="N21" s="8">
        <f>N4*O$16</f>
        <v>0.44285714285714284</v>
      </c>
      <c r="O21" s="8">
        <f>O4*O$17</f>
        <v>0.33968253968253964</v>
      </c>
      <c r="R21" s="8">
        <f>R4*T$15</f>
        <v>0.34300712784998155</v>
      </c>
      <c r="S21" s="8">
        <f>S4*T$16</f>
        <v>0.31747527960017224</v>
      </c>
      <c r="T21" s="8">
        <f>T4*T$17</f>
        <v>0.37065681927677996</v>
      </c>
    </row>
    <row r="22" spans="2:20" hidden="1" x14ac:dyDescent="0.2">
      <c r="C22" s="8">
        <f t="shared" ref="C22:C23" si="21">C5*E$15</f>
        <v>0.44285714285714284</v>
      </c>
      <c r="D22" s="8">
        <f t="shared" ref="D22:D23" si="22">D5*E$16</f>
        <v>0.38730158730158726</v>
      </c>
      <c r="E22" s="8">
        <f t="shared" ref="E22:E23" si="23">E5*E$17</f>
        <v>0.33968253968253964</v>
      </c>
      <c r="H22" s="8">
        <f t="shared" ref="H22:H23" si="24">H5*J$15</f>
        <v>0.39523809523809522</v>
      </c>
      <c r="I22" s="8">
        <f t="shared" ref="I22:I23" si="25">I5*J$16</f>
        <v>0.31190476190476191</v>
      </c>
      <c r="J22" s="8">
        <f t="shared" ref="J22:J23" si="26">J5*J$17</f>
        <v>0.24523809523809526</v>
      </c>
      <c r="M22" s="8">
        <f t="shared" ref="M22:M23" si="27">M5*O$15</f>
        <v>0.38730158730158726</v>
      </c>
      <c r="N22" s="8">
        <f t="shared" ref="N22:N23" si="28">N5*O$16</f>
        <v>0.44285714285714284</v>
      </c>
      <c r="O22" s="8">
        <f t="shared" ref="O22:O23" si="29">O5*O$17</f>
        <v>0.50952380952380949</v>
      </c>
      <c r="R22" s="8">
        <f t="shared" ref="R22:R23" si="30">R5*T$15</f>
        <v>0.43216190064217375</v>
      </c>
      <c r="S22" s="8">
        <f t="shared" ref="S22:S23" si="31">S5*T$16</f>
        <v>0.39999378758951742</v>
      </c>
      <c r="T22" s="8">
        <f t="shared" ref="T22:T23" si="32">T5*T$17</f>
        <v>0.37065681927677996</v>
      </c>
    </row>
    <row r="23" spans="2:20" hidden="1" x14ac:dyDescent="0.2">
      <c r="C23" s="8">
        <f t="shared" si="21"/>
        <v>0.14761904761904759</v>
      </c>
      <c r="D23" s="8">
        <f t="shared" si="22"/>
        <v>0.19365079365079363</v>
      </c>
      <c r="E23" s="8">
        <f t="shared" si="23"/>
        <v>0.16984126984126982</v>
      </c>
      <c r="H23" s="8">
        <f t="shared" si="24"/>
        <v>0.39523809523809522</v>
      </c>
      <c r="I23" s="8">
        <f t="shared" si="25"/>
        <v>0.62380952380952381</v>
      </c>
      <c r="J23" s="8">
        <f t="shared" si="26"/>
        <v>0.49047619047619051</v>
      </c>
      <c r="M23" s="8">
        <f t="shared" si="27"/>
        <v>0.19365079365079363</v>
      </c>
      <c r="N23" s="8">
        <f t="shared" si="28"/>
        <v>0.14761904761904759</v>
      </c>
      <c r="O23" s="8">
        <f t="shared" si="29"/>
        <v>0.16984126984126982</v>
      </c>
      <c r="R23" s="8">
        <f t="shared" si="30"/>
        <v>0.23782785927741429</v>
      </c>
      <c r="S23" s="8">
        <f t="shared" si="31"/>
        <v>0.2773402022954049</v>
      </c>
      <c r="T23" s="8">
        <f t="shared" si="32"/>
        <v>0.25699908456050108</v>
      </c>
    </row>
    <row r="24" spans="2:20" hidden="1" x14ac:dyDescent="0.2"/>
    <row r="25" spans="2:20" hidden="1" x14ac:dyDescent="0.2">
      <c r="C25" s="8">
        <f>SUM(C21:E21)</f>
        <v>1.3396825396825396</v>
      </c>
      <c r="D25" s="8">
        <f>SUM(C22:E22)</f>
        <v>1.1698412698412697</v>
      </c>
      <c r="E25" s="8">
        <f>SUM(C23:E23)</f>
        <v>0.51111111111111107</v>
      </c>
      <c r="H25" s="8">
        <f>SUM(H21:J21)</f>
        <v>0.59880952380952379</v>
      </c>
      <c r="I25" s="8">
        <f>SUM(H22:J22)</f>
        <v>0.95238095238095233</v>
      </c>
      <c r="J25" s="8">
        <f>SUM(H23:J23)</f>
        <v>1.5095238095238095</v>
      </c>
      <c r="M25" s="8">
        <f>SUM(M21:O21)</f>
        <v>1.1698412698412697</v>
      </c>
      <c r="N25" s="8">
        <f>SUM(M22:O22)</f>
        <v>1.3396825396825396</v>
      </c>
      <c r="O25" s="8">
        <f>SUM(M23:O23)</f>
        <v>0.51111111111111107</v>
      </c>
      <c r="R25" s="8">
        <f>SUM(R21:T21)</f>
        <v>1.0311392267269337</v>
      </c>
      <c r="S25" s="8">
        <f>SUM(R22:T22)</f>
        <v>1.202812507508471</v>
      </c>
      <c r="T25" s="8">
        <f>SUM(R23:T23)</f>
        <v>0.77216714613332016</v>
      </c>
    </row>
    <row r="26" spans="2:20" hidden="1" x14ac:dyDescent="0.2"/>
    <row r="27" spans="2:20" hidden="1" x14ac:dyDescent="0.2">
      <c r="C27" s="8">
        <f>E15</f>
        <v>0.44285714285714284</v>
      </c>
      <c r="D27" s="8">
        <f>E16</f>
        <v>0.38730158730158726</v>
      </c>
      <c r="E27" s="8">
        <f>E17</f>
        <v>0.16984126984126982</v>
      </c>
      <c r="H27" s="8">
        <f>J15</f>
        <v>0.19761904761904761</v>
      </c>
      <c r="I27" s="8">
        <f>J16</f>
        <v>0.31190476190476191</v>
      </c>
      <c r="J27" s="8">
        <f>J17</f>
        <v>0.49047619047619051</v>
      </c>
      <c r="M27" s="8">
        <f>O15</f>
        <v>0.38730158730158726</v>
      </c>
      <c r="N27" s="8">
        <f>O16</f>
        <v>0.44285714285714284</v>
      </c>
      <c r="O27" s="8">
        <f>O17</f>
        <v>0.16984126984126982</v>
      </c>
      <c r="R27" s="8">
        <f>T15</f>
        <v>0.34300712784998155</v>
      </c>
      <c r="S27" s="8">
        <f>T16</f>
        <v>0.39999378758951742</v>
      </c>
      <c r="T27" s="8">
        <f>T17</f>
        <v>0.25699908456050108</v>
      </c>
    </row>
    <row r="28" spans="2:20" hidden="1" x14ac:dyDescent="0.2"/>
    <row r="29" spans="2:20" hidden="1" x14ac:dyDescent="0.2">
      <c r="C29" s="8">
        <f>C25/C27</f>
        <v>3.0250896057347672</v>
      </c>
      <c r="D29" s="8">
        <f t="shared" ref="D29:E29" si="33">D25/D27</f>
        <v>3.0204918032786883</v>
      </c>
      <c r="E29" s="8">
        <f t="shared" si="33"/>
        <v>3.0093457943925235</v>
      </c>
      <c r="H29" s="8">
        <f>H25/H27</f>
        <v>3.0301204819277108</v>
      </c>
      <c r="I29" s="8">
        <f t="shared" ref="I29:J29" si="34">I25/I27</f>
        <v>3.0534351145038165</v>
      </c>
      <c r="J29" s="8">
        <f t="shared" si="34"/>
        <v>3.0776699029126209</v>
      </c>
      <c r="M29" s="8">
        <f>M25/M27</f>
        <v>3.0204918032786883</v>
      </c>
      <c r="N29" s="8">
        <f t="shared" ref="N29:O29" si="35">N25/N27</f>
        <v>3.0250896057347672</v>
      </c>
      <c r="O29" s="8">
        <f t="shared" si="35"/>
        <v>3.0093457943925235</v>
      </c>
      <c r="R29" s="8">
        <f>R25/R27</f>
        <v>3.0061743415953597</v>
      </c>
      <c r="S29" s="8">
        <f t="shared" ref="S29:T29" si="36">S25/S27</f>
        <v>3.0070779717779619</v>
      </c>
      <c r="T29" s="8">
        <f t="shared" si="36"/>
        <v>3.0045521269222322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3.0183090678019933</v>
      </c>
      <c r="I31" s="8" t="s">
        <v>20</v>
      </c>
      <c r="J31" s="8">
        <f>AVERAGE(H29:J29)</f>
        <v>3.0537418331147159</v>
      </c>
      <c r="N31" s="8" t="s">
        <v>20</v>
      </c>
      <c r="O31" s="8">
        <f>AVERAGE(M29:O29)</f>
        <v>3.0183090678019933</v>
      </c>
      <c r="S31" s="8" t="s">
        <v>20</v>
      </c>
      <c r="T31" s="8">
        <f>AVERAGE(R29:T29)</f>
        <v>3.0059348134318511</v>
      </c>
    </row>
    <row r="32" spans="2:20" hidden="1" x14ac:dyDescent="0.2">
      <c r="D32" s="8" t="s">
        <v>21</v>
      </c>
      <c r="E32" s="8">
        <f>(E31-3)/2</f>
        <v>9.1545339009966309E-3</v>
      </c>
      <c r="I32" s="8" t="s">
        <v>21</v>
      </c>
      <c r="J32" s="8">
        <f>(J31-3)/2</f>
        <v>2.687091655735796E-2</v>
      </c>
      <c r="N32" s="8" t="s">
        <v>21</v>
      </c>
      <c r="O32" s="8">
        <f>(O31-3)/2</f>
        <v>9.1545339009966309E-3</v>
      </c>
      <c r="S32" s="8" t="s">
        <v>21</v>
      </c>
      <c r="T32" s="8">
        <f>(T31-3)/2</f>
        <v>2.9674067159255468E-3</v>
      </c>
    </row>
    <row r="33" spans="4:20" x14ac:dyDescent="0.2">
      <c r="D33" s="8" t="s">
        <v>22</v>
      </c>
      <c r="E33" s="8">
        <f>E32/0.52</f>
        <v>1.760487288653198E-2</v>
      </c>
      <c r="I33" s="8" t="s">
        <v>22</v>
      </c>
      <c r="J33" s="8">
        <f>J32/0.52</f>
        <v>5.1674839533380694E-2</v>
      </c>
      <c r="N33" s="8" t="s">
        <v>22</v>
      </c>
      <c r="O33" s="8">
        <f>O32/0.52</f>
        <v>1.760487288653198E-2</v>
      </c>
      <c r="S33" s="8" t="s">
        <v>22</v>
      </c>
      <c r="T33" s="8">
        <f>T32/0.52</f>
        <v>5.7065513767798979E-3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5B74-2E59-F54D-AB3A-37C446DD585F}">
  <dimension ref="B3:T33"/>
  <sheetViews>
    <sheetView topLeftCell="A4" workbookViewId="0">
      <selection activeCell="J20" sqref="J20"/>
    </sheetView>
  </sheetViews>
  <sheetFormatPr baseColWidth="10" defaultColWidth="8.83203125" defaultRowHeight="15" x14ac:dyDescent="0.2"/>
  <cols>
    <col min="2" max="2" width="21" customWidth="1"/>
    <col min="3" max="3" width="21.83203125" customWidth="1"/>
    <col min="4" max="4" width="23.83203125" customWidth="1"/>
    <col min="5" max="5" width="20.5" customWidth="1"/>
    <col min="7" max="7" width="21.1640625" customWidth="1"/>
    <col min="8" max="8" width="19.33203125" customWidth="1"/>
    <col min="9" max="9" width="20.1640625" customWidth="1"/>
    <col min="10" max="10" width="16.83203125" customWidth="1"/>
    <col min="12" max="12" width="21.83203125" customWidth="1"/>
    <col min="13" max="13" width="22.1640625" customWidth="1"/>
    <col min="14" max="14" width="19" customWidth="1"/>
    <col min="15" max="15" width="21.5" customWidth="1"/>
    <col min="17" max="17" width="22.1640625" customWidth="1"/>
    <col min="18" max="18" width="18.33203125" customWidth="1"/>
    <col min="19" max="19" width="18" customWidth="1"/>
    <col min="20" max="20" width="17.1640625" customWidth="1"/>
  </cols>
  <sheetData>
    <row r="3" spans="2:20" ht="100.75" customHeight="1" x14ac:dyDescent="0.2">
      <c r="B3" s="8"/>
      <c r="C3" s="13" t="s">
        <v>190</v>
      </c>
      <c r="D3" s="13" t="s">
        <v>191</v>
      </c>
      <c r="E3" s="13" t="s">
        <v>192</v>
      </c>
      <c r="G3" s="8"/>
      <c r="H3" s="13" t="str">
        <f>G4</f>
        <v>Više od 80 % rutinskih koraka je automatizirano, uključujući provjeru dokumentacije, generiranje certifikata i dodjelu QR koda.</v>
      </c>
      <c r="I3" s="13" t="str">
        <f>G5</f>
        <v>Automatizirano je oko 60–70 % procesa, uključujući snimanje, pohranu dokaza i generiranje izvještaja.</v>
      </c>
      <c r="J3" s="13" t="str">
        <f>G6</f>
        <v>Oko 50 % procesa je automatizirano, uključujući prijave, rasporede i izvještaje, dok je provedba aktivnosti fizička.</v>
      </c>
      <c r="L3" s="8"/>
      <c r="M3" s="13" t="str">
        <f>L4</f>
        <v>Više od 80 % rutinskih koraka je automatizirano, uključujući provjeru dokumentacije, generiranje certifikata i dodjelu QR koda.</v>
      </c>
      <c r="N3" s="13" t="str">
        <f>L5</f>
        <v>Automatizirano je oko 60–70 % procesa, uključujući snimanje, pohranu dokaza i generiranje izvještaja.</v>
      </c>
      <c r="O3" s="13" t="str">
        <f>L6</f>
        <v>Oko 50 % procesa je automatizirano, uključujući prijave, rasporede i izvještaje, dok je provedba aktivnosti fizička.</v>
      </c>
      <c r="Q3" s="8"/>
      <c r="R3" s="13" t="str">
        <f>Q4</f>
        <v>Više od 80 % rutinskih koraka je automatizirano, uključujući provjeru dokumentacije, generiranje certifikata i dodjelu QR koda.</v>
      </c>
      <c r="S3" s="13" t="str">
        <f>Q5</f>
        <v>Automatizirano je oko 60–70 % procesa, uključujući snimanje, pohranu dokaza i generiranje izvještaja.</v>
      </c>
      <c r="T3" s="13" t="str">
        <f>Q6</f>
        <v>Oko 50 % procesa je automatizirano, uključujući prijave, rasporede i izvještaje, dok je provedba aktivnosti fizička.</v>
      </c>
    </row>
    <row r="4" spans="2:20" ht="121.25" customHeight="1" x14ac:dyDescent="0.2">
      <c r="B4" s="12" t="s">
        <v>190</v>
      </c>
      <c r="C4" s="8">
        <v>1</v>
      </c>
      <c r="D4" s="8">
        <v>1</v>
      </c>
      <c r="E4" s="8">
        <f>1/2</f>
        <v>0.5</v>
      </c>
      <c r="G4" s="13" t="str">
        <f>B4</f>
        <v>Više od 80 % rutinskih koraka je automatizirano, uključujući provjeru dokumentacije, generiranje certifikata i dodjelu QR koda.</v>
      </c>
      <c r="H4" s="8">
        <v>1</v>
      </c>
      <c r="I4" s="8">
        <f>1/2</f>
        <v>0.5</v>
      </c>
      <c r="J4" s="8">
        <f>1/4</f>
        <v>0.25</v>
      </c>
      <c r="L4" s="13" t="str">
        <f>G4</f>
        <v>Više od 80 % rutinskih koraka je automatizirano, uključujući provjeru dokumentacije, generiranje certifikata i dodjelu QR koda.</v>
      </c>
      <c r="M4" s="8">
        <v>1</v>
      </c>
      <c r="N4" s="8">
        <f>1/5</f>
        <v>0.2</v>
      </c>
      <c r="O4" s="8">
        <f>1/3</f>
        <v>0.33333333333333331</v>
      </c>
      <c r="Q4" s="13" t="str">
        <f>L4</f>
        <v>Više od 80 % rutinskih koraka je automatizirano, uključujući provjeru dokumentacije, generiranje certifikata i dodjelu QR koda.</v>
      </c>
      <c r="R4" s="8">
        <f>GEOMEAN(C4,H4,M4)</f>
        <v>1</v>
      </c>
      <c r="S4" s="8">
        <f t="shared" ref="S4:T6" si="0">GEOMEAN(D4,I4,N4)</f>
        <v>0.46415888336127792</v>
      </c>
      <c r="T4" s="8">
        <f t="shared" si="0"/>
        <v>0.34668063717531733</v>
      </c>
    </row>
    <row r="5" spans="2:20" ht="109.25" customHeight="1" x14ac:dyDescent="0.2">
      <c r="B5" s="12" t="s">
        <v>191</v>
      </c>
      <c r="C5" s="8">
        <v>1</v>
      </c>
      <c r="D5" s="8">
        <v>1</v>
      </c>
      <c r="E5" s="8">
        <f>1/3</f>
        <v>0.33333333333333331</v>
      </c>
      <c r="G5" s="13" t="str">
        <f t="shared" ref="G5:G6" si="1">B5</f>
        <v>Automatizirano je oko 60–70 % procesa, uključujući snimanje, pohranu dokaza i generiranje izvještaja.</v>
      </c>
      <c r="H5" s="8">
        <v>2</v>
      </c>
      <c r="I5" s="8">
        <v>1</v>
      </c>
      <c r="J5" s="8">
        <f>1/3</f>
        <v>0.33333333333333331</v>
      </c>
      <c r="L5" s="13" t="str">
        <f t="shared" ref="L5:L6" si="2">G5</f>
        <v>Automatizirano je oko 60–70 % procesa, uključujući snimanje, pohranu dokaza i generiranje izvještaja.</v>
      </c>
      <c r="M5" s="8">
        <v>5</v>
      </c>
      <c r="N5" s="8">
        <v>1</v>
      </c>
      <c r="O5" s="8">
        <v>1</v>
      </c>
      <c r="Q5" s="13" t="str">
        <f t="shared" ref="Q5:Q6" si="3">L5</f>
        <v>Automatizirano je oko 60–70 % procesa, uključujući snimanje, pohranu dokaza i generiranje izvještaja.</v>
      </c>
      <c r="R5" s="8">
        <f t="shared" ref="R5:R6" si="4">GEOMEAN(C5,H5,M5)</f>
        <v>2.1544346900318838</v>
      </c>
      <c r="S5" s="8">
        <f t="shared" si="0"/>
        <v>1</v>
      </c>
      <c r="T5" s="8">
        <f t="shared" si="0"/>
        <v>0.48074985676913612</v>
      </c>
    </row>
    <row r="6" spans="2:20" ht="97.25" customHeight="1" x14ac:dyDescent="0.2">
      <c r="B6" s="12" t="s">
        <v>192</v>
      </c>
      <c r="C6" s="8">
        <v>2</v>
      </c>
      <c r="D6" s="8">
        <v>3</v>
      </c>
      <c r="E6" s="8">
        <v>1</v>
      </c>
      <c r="G6" s="13" t="str">
        <f t="shared" si="1"/>
        <v>Oko 50 % procesa je automatizirano, uključujući prijave, rasporede i izvještaje, dok je provedba aktivnosti fizička.</v>
      </c>
      <c r="H6" s="8">
        <v>4</v>
      </c>
      <c r="I6" s="8">
        <v>3</v>
      </c>
      <c r="J6" s="8">
        <v>1</v>
      </c>
      <c r="L6" s="13" t="str">
        <f t="shared" si="2"/>
        <v>Oko 50 % procesa je automatizirano, uključujući prijave, rasporede i izvještaje, dok je provedba aktivnosti fizička.</v>
      </c>
      <c r="M6" s="8">
        <v>3</v>
      </c>
      <c r="N6" s="8">
        <v>1</v>
      </c>
      <c r="O6" s="8">
        <v>1</v>
      </c>
      <c r="Q6" s="13" t="str">
        <f t="shared" si="3"/>
        <v>Oko 50 % procesa je automatizirano, uključujući prijave, rasporede i izvještaje, dok je provedba aktivnosti fizička.</v>
      </c>
      <c r="R6" s="8">
        <f t="shared" si="4"/>
        <v>2.8844991406148166</v>
      </c>
      <c r="S6" s="8">
        <f t="shared" si="0"/>
        <v>2.0800838230519041</v>
      </c>
      <c r="T6" s="8">
        <f t="shared" si="0"/>
        <v>1</v>
      </c>
    </row>
    <row r="8" spans="2:20" hidden="1" x14ac:dyDescent="0.2">
      <c r="C8" s="8">
        <f>SUM(C4:C6)</f>
        <v>4</v>
      </c>
      <c r="D8" s="8">
        <f t="shared" ref="D8:E8" si="5">SUM(D4:D6)</f>
        <v>5</v>
      </c>
      <c r="E8" s="8">
        <f t="shared" si="5"/>
        <v>1.8333333333333333</v>
      </c>
      <c r="H8" s="8">
        <f>SUM(H4:H6)</f>
        <v>7</v>
      </c>
      <c r="I8" s="8">
        <f t="shared" ref="I8:J8" si="6">SUM(I4:I6)</f>
        <v>4.5</v>
      </c>
      <c r="J8" s="8">
        <f t="shared" si="6"/>
        <v>1.5833333333333333</v>
      </c>
      <c r="M8" s="8">
        <f>SUM(M4:M6)</f>
        <v>9</v>
      </c>
      <c r="N8" s="8">
        <f t="shared" ref="N8:O8" si="7">SUM(N4:N6)</f>
        <v>2.2000000000000002</v>
      </c>
      <c r="O8" s="8">
        <f t="shared" si="7"/>
        <v>2.333333333333333</v>
      </c>
      <c r="R8" s="8">
        <f>SUM(R4:R6)</f>
        <v>6.0389338306467</v>
      </c>
      <c r="S8" s="8">
        <f t="shared" ref="S8:T8" si="8">SUM(S4:S6)</f>
        <v>3.5442427064131818</v>
      </c>
      <c r="T8" s="8">
        <f t="shared" si="8"/>
        <v>1.8274304939444534</v>
      </c>
    </row>
    <row r="9" spans="2:20" hidden="1" x14ac:dyDescent="0.2"/>
    <row r="10" spans="2:20" hidden="1" x14ac:dyDescent="0.2"/>
    <row r="11" spans="2:20" hidden="1" x14ac:dyDescent="0.2">
      <c r="C11" s="8">
        <f>C4/C$8</f>
        <v>0.25</v>
      </c>
      <c r="D11" s="8">
        <f>D4/D$8</f>
        <v>0.2</v>
      </c>
      <c r="E11" s="8">
        <f>E4/E$8</f>
        <v>0.27272727272727276</v>
      </c>
      <c r="H11" s="8">
        <f>H4/H$8</f>
        <v>0.14285714285714285</v>
      </c>
      <c r="I11" s="8">
        <f>I4/I$8</f>
        <v>0.1111111111111111</v>
      </c>
      <c r="J11" s="8">
        <f>J4/J$8</f>
        <v>0.15789473684210528</v>
      </c>
      <c r="M11" s="8">
        <f>M4/M$8</f>
        <v>0.1111111111111111</v>
      </c>
      <c r="N11" s="8">
        <f>N4/N$8</f>
        <v>9.0909090909090912E-2</v>
      </c>
      <c r="O11" s="8">
        <f>O4/O$8</f>
        <v>0.14285714285714288</v>
      </c>
      <c r="R11" s="8">
        <f>R4/R$8</f>
        <v>0.16559214391870752</v>
      </c>
      <c r="S11" s="8">
        <f>S4/S$8</f>
        <v>0.13096137082299664</v>
      </c>
      <c r="T11" s="8">
        <f>T4/T$8</f>
        <v>0.18970934233838774</v>
      </c>
    </row>
    <row r="12" spans="2:20" hidden="1" x14ac:dyDescent="0.2">
      <c r="C12" s="8">
        <f t="shared" ref="C12:E13" si="9">C5/C$8</f>
        <v>0.25</v>
      </c>
      <c r="D12" s="8">
        <f t="shared" si="9"/>
        <v>0.2</v>
      </c>
      <c r="E12" s="8">
        <f t="shared" si="9"/>
        <v>0.18181818181818182</v>
      </c>
      <c r="H12" s="8">
        <f t="shared" ref="H12:J13" si="10">H5/H$8</f>
        <v>0.2857142857142857</v>
      </c>
      <c r="I12" s="8">
        <f t="shared" si="10"/>
        <v>0.22222222222222221</v>
      </c>
      <c r="J12" s="8">
        <f t="shared" si="10"/>
        <v>0.21052631578947367</v>
      </c>
      <c r="M12" s="8">
        <f t="shared" ref="M12:O13" si="11">M5/M$8</f>
        <v>0.55555555555555558</v>
      </c>
      <c r="N12" s="8">
        <f t="shared" si="11"/>
        <v>0.45454545454545453</v>
      </c>
      <c r="O12" s="8">
        <f t="shared" si="11"/>
        <v>0.4285714285714286</v>
      </c>
      <c r="R12" s="8">
        <f t="shared" ref="R12:T13" si="12">R5/R$8</f>
        <v>0.35675745925521574</v>
      </c>
      <c r="S12" s="8">
        <f t="shared" si="12"/>
        <v>0.28214772035519331</v>
      </c>
      <c r="T12" s="8">
        <f t="shared" si="12"/>
        <v>0.26307422271993069</v>
      </c>
    </row>
    <row r="13" spans="2:20" hidden="1" x14ac:dyDescent="0.2">
      <c r="C13" s="8">
        <f t="shared" si="9"/>
        <v>0.5</v>
      </c>
      <c r="D13" s="8">
        <f t="shared" si="9"/>
        <v>0.6</v>
      </c>
      <c r="E13" s="8">
        <f t="shared" si="9"/>
        <v>0.54545454545454553</v>
      </c>
      <c r="H13" s="8">
        <f t="shared" si="10"/>
        <v>0.5714285714285714</v>
      </c>
      <c r="I13" s="8">
        <f t="shared" si="10"/>
        <v>0.66666666666666663</v>
      </c>
      <c r="J13" s="8">
        <f t="shared" si="10"/>
        <v>0.63157894736842113</v>
      </c>
      <c r="M13" s="8">
        <f t="shared" si="11"/>
        <v>0.33333333333333331</v>
      </c>
      <c r="N13" s="8">
        <f t="shared" si="11"/>
        <v>0.45454545454545453</v>
      </c>
      <c r="O13" s="8">
        <f t="shared" si="11"/>
        <v>0.4285714285714286</v>
      </c>
      <c r="R13" s="8">
        <f t="shared" si="12"/>
        <v>0.47765039682607685</v>
      </c>
      <c r="S13" s="8">
        <f t="shared" si="12"/>
        <v>0.58689090882181005</v>
      </c>
      <c r="T13" s="8">
        <f t="shared" si="12"/>
        <v>0.5472164349416816</v>
      </c>
    </row>
    <row r="14" spans="2:20" hidden="1" x14ac:dyDescent="0.2"/>
    <row r="15" spans="2:20" x14ac:dyDescent="0.2">
      <c r="D15" s="8" t="str">
        <f>B4</f>
        <v>Više od 80 % rutinskih koraka je automatizirano, uključujući provjeru dokumentacije, generiranje certifikata i dodjelu QR koda.</v>
      </c>
      <c r="E15" s="8">
        <f>AVERAGE(C11:E11)</f>
        <v>0.24090909090909093</v>
      </c>
      <c r="I15" s="8" t="str">
        <f>G4</f>
        <v>Više od 80 % rutinskih koraka je automatizirano, uključujući provjeru dokumentacije, generiranje certifikata i dodjelu QR koda.</v>
      </c>
      <c r="J15" s="8">
        <f>AVERAGE(H11:J11)</f>
        <v>0.1372876636034531</v>
      </c>
      <c r="N15" s="8" t="str">
        <f>L4</f>
        <v>Više od 80 % rutinskih koraka je automatizirano, uključujući provjeru dokumentacije, generiranje certifikata i dodjelu QR koda.</v>
      </c>
      <c r="O15" s="8">
        <f>AVERAGE(M11:O11)</f>
        <v>0.11495911495911497</v>
      </c>
      <c r="S15" s="8" t="str">
        <f>Q4</f>
        <v>Više od 80 % rutinskih koraka je automatizirano, uključujući provjeru dokumentacije, generiranje certifikata i dodjelu QR koda.</v>
      </c>
      <c r="T15" s="11">
        <f>AVERAGE(R11:T11)</f>
        <v>0.1620876190266973</v>
      </c>
    </row>
    <row r="16" spans="2:20" x14ac:dyDescent="0.2">
      <c r="D16" s="8" t="str">
        <f t="shared" ref="D16:D17" si="13">B5</f>
        <v>Automatizirano je oko 60–70 % procesa, uključujući snimanje, pohranu dokaza i generiranje izvještaja.</v>
      </c>
      <c r="E16" s="8">
        <f t="shared" ref="E16:E17" si="14">AVERAGE(C12:E12)</f>
        <v>0.2106060606060606</v>
      </c>
      <c r="I16" s="8" t="str">
        <f t="shared" ref="I16:I17" si="15">G5</f>
        <v>Automatizirano je oko 60–70 % procesa, uključujući snimanje, pohranu dokaza i generiranje izvještaja.</v>
      </c>
      <c r="J16" s="8">
        <f t="shared" ref="J16:J17" si="16">AVERAGE(H12:J12)</f>
        <v>0.23948760790866053</v>
      </c>
      <c r="N16" s="8" t="str">
        <f t="shared" ref="N16:N17" si="17">L5</f>
        <v>Automatizirano je oko 60–70 % procesa, uključujući snimanje, pohranu dokaza i generiranje izvještaja.</v>
      </c>
      <c r="O16" s="8">
        <f t="shared" ref="O16:O17" si="18">AVERAGE(M12:O12)</f>
        <v>0.47955747955747957</v>
      </c>
      <c r="S16" s="8" t="str">
        <f t="shared" ref="S16:S17" si="19">Q5</f>
        <v>Automatizirano je oko 60–70 % procesa, uključujući snimanje, pohranu dokaza i generiranje izvještaja.</v>
      </c>
      <c r="T16" s="11">
        <f t="shared" ref="T16:T17" si="20">AVERAGE(R12:T12)</f>
        <v>0.30065980077677995</v>
      </c>
    </row>
    <row r="17" spans="2:20" x14ac:dyDescent="0.2">
      <c r="D17" s="8" t="str">
        <f t="shared" si="13"/>
        <v>Oko 50 % procesa je automatizirano, uključujući prijave, rasporede i izvještaje, dok je provedba aktivnosti fizička.</v>
      </c>
      <c r="E17" s="8">
        <f t="shared" si="14"/>
        <v>0.54848484848484846</v>
      </c>
      <c r="I17" s="8" t="str">
        <f t="shared" si="15"/>
        <v>Oko 50 % procesa je automatizirano, uključujući prijave, rasporede i izvještaje, dok je provedba aktivnosti fizička.</v>
      </c>
      <c r="J17" s="8">
        <f t="shared" si="16"/>
        <v>0.62322472848788646</v>
      </c>
      <c r="N17" s="8" t="str">
        <f t="shared" si="17"/>
        <v>Oko 50 % procesa je automatizirano, uključujući prijave, rasporede i izvještaje, dok je provedba aktivnosti fizička.</v>
      </c>
      <c r="O17" s="8">
        <f t="shared" si="18"/>
        <v>0.4054834054834055</v>
      </c>
      <c r="S17" s="8" t="str">
        <f t="shared" si="19"/>
        <v>Oko 50 % procesa je automatizirano, uključujući prijave, rasporede i izvještaje, dok je provedba aktivnosti fizička.</v>
      </c>
      <c r="T17" s="11">
        <f t="shared" si="20"/>
        <v>0.53725258019652289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0.24090909090909093</v>
      </c>
      <c r="D21" s="8">
        <f>D4*E$16</f>
        <v>0.2106060606060606</v>
      </c>
      <c r="E21" s="8">
        <f>E4*E$17</f>
        <v>0.27424242424242423</v>
      </c>
      <c r="H21" s="8">
        <f>H4*J$15</f>
        <v>0.1372876636034531</v>
      </c>
      <c r="I21" s="8">
        <f>I4*J$16</f>
        <v>0.11974380395433026</v>
      </c>
      <c r="J21" s="8">
        <f>J4*J$17</f>
        <v>0.15580618212197161</v>
      </c>
      <c r="M21" s="8">
        <f>M4*O$15</f>
        <v>0.11495911495911497</v>
      </c>
      <c r="N21" s="8">
        <f>N4*O$16</f>
        <v>9.591149591149592E-2</v>
      </c>
      <c r="O21" s="8">
        <f>O4*O$17</f>
        <v>0.13516113516113515</v>
      </c>
      <c r="R21" s="8">
        <f>R4*T$15</f>
        <v>0.1620876190266973</v>
      </c>
      <c r="S21" s="8">
        <f>S4*T$16</f>
        <v>0.13955391740017445</v>
      </c>
      <c r="T21" s="8">
        <f>T4*T$17</f>
        <v>0.18625506682661383</v>
      </c>
    </row>
    <row r="22" spans="2:20" hidden="1" x14ac:dyDescent="0.2">
      <c r="C22" s="8">
        <f t="shared" ref="C22:C23" si="21">C5*E$15</f>
        <v>0.24090909090909093</v>
      </c>
      <c r="D22" s="8">
        <f t="shared" ref="D22:D23" si="22">D5*E$16</f>
        <v>0.2106060606060606</v>
      </c>
      <c r="E22" s="8">
        <f t="shared" ref="E22:E23" si="23">E5*E$17</f>
        <v>0.18282828282828281</v>
      </c>
      <c r="H22" s="8">
        <f t="shared" ref="H22:H23" si="24">H5*J$15</f>
        <v>0.27457532720690619</v>
      </c>
      <c r="I22" s="8">
        <f t="shared" ref="I22:I23" si="25">I5*J$16</f>
        <v>0.23948760790866053</v>
      </c>
      <c r="J22" s="8">
        <f t="shared" ref="J22:J23" si="26">J5*J$17</f>
        <v>0.20774157616262881</v>
      </c>
      <c r="M22" s="8">
        <f t="shared" ref="M22:M23" si="27">M5*O$15</f>
        <v>0.57479557479557486</v>
      </c>
      <c r="N22" s="8">
        <f t="shared" ref="N22:N23" si="28">N5*O$16</f>
        <v>0.47955747955747957</v>
      </c>
      <c r="O22" s="8">
        <f t="shared" ref="O22:O23" si="29">O5*O$17</f>
        <v>0.4054834054834055</v>
      </c>
      <c r="R22" s="8">
        <f t="shared" ref="R22:R23" si="30">R5*T$15</f>
        <v>0.3492071892557887</v>
      </c>
      <c r="S22" s="8">
        <f t="shared" ref="S22:S23" si="31">S5*T$16</f>
        <v>0.30065980077677995</v>
      </c>
      <c r="T22" s="8">
        <f t="shared" ref="T22:T23" si="32">T5*T$17</f>
        <v>0.25828410097832721</v>
      </c>
    </row>
    <row r="23" spans="2:20" hidden="1" x14ac:dyDescent="0.2">
      <c r="C23" s="8">
        <f t="shared" si="21"/>
        <v>0.48181818181818187</v>
      </c>
      <c r="D23" s="8">
        <f t="shared" si="22"/>
        <v>0.63181818181818183</v>
      </c>
      <c r="E23" s="8">
        <f t="shared" si="23"/>
        <v>0.54848484848484846</v>
      </c>
      <c r="H23" s="8">
        <f t="shared" si="24"/>
        <v>0.54915065441381239</v>
      </c>
      <c r="I23" s="8">
        <f t="shared" si="25"/>
        <v>0.71846282372598158</v>
      </c>
      <c r="J23" s="8">
        <f t="shared" si="26"/>
        <v>0.62322472848788646</v>
      </c>
      <c r="M23" s="8">
        <f t="shared" si="27"/>
        <v>0.34487734487734489</v>
      </c>
      <c r="N23" s="8">
        <f t="shared" si="28"/>
        <v>0.47955747955747957</v>
      </c>
      <c r="O23" s="8">
        <f t="shared" si="29"/>
        <v>0.4054834054834055</v>
      </c>
      <c r="R23" s="8">
        <f t="shared" si="30"/>
        <v>0.46754159778681015</v>
      </c>
      <c r="S23" s="8">
        <f t="shared" si="31"/>
        <v>0.62539758783778832</v>
      </c>
      <c r="T23" s="8">
        <f t="shared" si="32"/>
        <v>0.53725258019652289</v>
      </c>
    </row>
    <row r="24" spans="2:20" hidden="1" x14ac:dyDescent="0.2"/>
    <row r="25" spans="2:20" hidden="1" x14ac:dyDescent="0.2">
      <c r="C25" s="8">
        <f>SUM(C21:E21)</f>
        <v>0.72575757575757582</v>
      </c>
      <c r="D25" s="8">
        <f>SUM(C22:E22)</f>
        <v>0.63434343434343432</v>
      </c>
      <c r="E25" s="8">
        <f>SUM(C23:E23)</f>
        <v>1.6621212121212121</v>
      </c>
      <c r="H25" s="8">
        <f>SUM(H21:J21)</f>
        <v>0.412837649679755</v>
      </c>
      <c r="I25" s="8">
        <f>SUM(H22:J22)</f>
        <v>0.72180451127819556</v>
      </c>
      <c r="J25" s="8">
        <f>SUM(H23:J23)</f>
        <v>1.8908382066276803</v>
      </c>
      <c r="M25" s="8">
        <f>SUM(M21:O21)</f>
        <v>0.34603174603174602</v>
      </c>
      <c r="N25" s="8">
        <f>SUM(M22:O22)</f>
        <v>1.4598364598364599</v>
      </c>
      <c r="O25" s="8">
        <f>SUM(M23:O23)</f>
        <v>1.2299182299182301</v>
      </c>
      <c r="R25" s="8">
        <f>SUM(R21:T21)</f>
        <v>0.48789660325348561</v>
      </c>
      <c r="S25" s="8">
        <f>SUM(R22:T22)</f>
        <v>0.90815109101089586</v>
      </c>
      <c r="T25" s="8">
        <f>SUM(R23:T23)</f>
        <v>1.6301917658211214</v>
      </c>
    </row>
    <row r="26" spans="2:20" hidden="1" x14ac:dyDescent="0.2"/>
    <row r="27" spans="2:20" hidden="1" x14ac:dyDescent="0.2">
      <c r="C27" s="8">
        <f>E15</f>
        <v>0.24090909090909093</v>
      </c>
      <c r="D27" s="8">
        <f>E16</f>
        <v>0.2106060606060606</v>
      </c>
      <c r="E27" s="8">
        <f>E17</f>
        <v>0.54848484848484846</v>
      </c>
      <c r="H27" s="8">
        <f>J15</f>
        <v>0.1372876636034531</v>
      </c>
      <c r="I27" s="8">
        <f>J16</f>
        <v>0.23948760790866053</v>
      </c>
      <c r="J27" s="8">
        <f>J17</f>
        <v>0.62322472848788646</v>
      </c>
      <c r="M27" s="8">
        <f>O15</f>
        <v>0.11495911495911497</v>
      </c>
      <c r="N27" s="8">
        <f>O16</f>
        <v>0.47955747955747957</v>
      </c>
      <c r="O27" s="8">
        <f>O17</f>
        <v>0.4054834054834055</v>
      </c>
      <c r="R27" s="8">
        <f>T15</f>
        <v>0.1620876190266973</v>
      </c>
      <c r="S27" s="8">
        <f>T16</f>
        <v>0.30065980077677995</v>
      </c>
      <c r="T27" s="8">
        <f>T17</f>
        <v>0.53725258019652289</v>
      </c>
    </row>
    <row r="28" spans="2:20" hidden="1" x14ac:dyDescent="0.2"/>
    <row r="29" spans="2:20" hidden="1" x14ac:dyDescent="0.2">
      <c r="C29" s="8">
        <f>C25/C27</f>
        <v>3.0125786163522013</v>
      </c>
      <c r="D29" s="8">
        <f t="shared" ref="D29:E29" si="33">D25/D27</f>
        <v>3.0119904076738608</v>
      </c>
      <c r="E29" s="8">
        <f t="shared" si="33"/>
        <v>3.0303867403314917</v>
      </c>
      <c r="H29" s="8">
        <f>H25/H27</f>
        <v>3.0070993914807302</v>
      </c>
      <c r="I29" s="8">
        <f t="shared" ref="I29:J29" si="34">I25/I27</f>
        <v>3.0139534883720933</v>
      </c>
      <c r="J29" s="8">
        <f t="shared" si="34"/>
        <v>3.0339588918677385</v>
      </c>
      <c r="M29" s="8">
        <f>M25/M27</f>
        <v>3.0100418410041838</v>
      </c>
      <c r="N29" s="8">
        <f t="shared" ref="N29:O29" si="35">N25/N27</f>
        <v>3.044132397191575</v>
      </c>
      <c r="O29" s="8">
        <f t="shared" si="35"/>
        <v>3.0332147093712933</v>
      </c>
      <c r="R29" s="8">
        <f>R25/R27</f>
        <v>3.0100794013953935</v>
      </c>
      <c r="S29" s="8">
        <f t="shared" ref="S29:T29" si="36">S25/S27</f>
        <v>3.0205271495045594</v>
      </c>
      <c r="T29" s="8">
        <f t="shared" si="36"/>
        <v>3.0343116550967695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3.0183185881191847</v>
      </c>
      <c r="I31" s="8" t="s">
        <v>20</v>
      </c>
      <c r="J31" s="8">
        <f>AVERAGE(H29:J29)</f>
        <v>3.0183372572401872</v>
      </c>
      <c r="N31" s="8" t="s">
        <v>20</v>
      </c>
      <c r="O31" s="8">
        <f>AVERAGE(M29:O29)</f>
        <v>3.0291296491890178</v>
      </c>
      <c r="S31" s="8" t="s">
        <v>20</v>
      </c>
      <c r="T31" s="8">
        <f>AVERAGE(R29:T29)</f>
        <v>3.0216394019989075</v>
      </c>
    </row>
    <row r="32" spans="2:20" hidden="1" x14ac:dyDescent="0.2">
      <c r="D32" s="8" t="s">
        <v>21</v>
      </c>
      <c r="E32" s="8">
        <f>(E31-3)/2</f>
        <v>9.1592940595923711E-3</v>
      </c>
      <c r="I32" s="8" t="s">
        <v>21</v>
      </c>
      <c r="J32" s="8">
        <f>(J31-3)/2</f>
        <v>9.1686286200935996E-3</v>
      </c>
      <c r="N32" s="8" t="s">
        <v>21</v>
      </c>
      <c r="O32" s="8">
        <f>(O31-3)/2</f>
        <v>1.4564824594508918E-2</v>
      </c>
      <c r="S32" s="8" t="s">
        <v>21</v>
      </c>
      <c r="T32" s="8">
        <f>(T31-3)/2</f>
        <v>1.081970099945373E-2</v>
      </c>
    </row>
    <row r="33" spans="4:20" x14ac:dyDescent="0.2">
      <c r="D33" s="8" t="s">
        <v>22</v>
      </c>
      <c r="E33" s="8">
        <f>E32/0.52</f>
        <v>1.7614027037677636E-2</v>
      </c>
      <c r="I33" s="8" t="s">
        <v>22</v>
      </c>
      <c r="J33" s="8">
        <f>J32/0.52</f>
        <v>1.7631978115564613E-2</v>
      </c>
      <c r="N33" s="8" t="s">
        <v>22</v>
      </c>
      <c r="O33" s="8">
        <f>O32/0.52</f>
        <v>2.8009278066363302E-2</v>
      </c>
      <c r="S33" s="8" t="s">
        <v>22</v>
      </c>
      <c r="T33" s="8">
        <f>T32/0.52</f>
        <v>2.0807117306641788E-2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9338-F26F-9C4F-80B2-DAB08C4CEA6C}">
  <dimension ref="B3:T33"/>
  <sheetViews>
    <sheetView topLeftCell="A3" workbookViewId="0">
      <selection activeCell="J20" sqref="J20"/>
    </sheetView>
  </sheetViews>
  <sheetFormatPr baseColWidth="10" defaultColWidth="8.83203125" defaultRowHeight="15" x14ac:dyDescent="0.2"/>
  <cols>
    <col min="2" max="2" width="21" customWidth="1"/>
    <col min="3" max="3" width="21.83203125" customWidth="1"/>
    <col min="4" max="4" width="23.83203125" customWidth="1"/>
    <col min="5" max="5" width="20.5" customWidth="1"/>
    <col min="7" max="7" width="21.1640625" customWidth="1"/>
    <col min="8" max="8" width="19.33203125" customWidth="1"/>
    <col min="9" max="9" width="20.1640625" customWidth="1"/>
    <col min="10" max="10" width="16.83203125" customWidth="1"/>
    <col min="12" max="12" width="21.83203125" customWidth="1"/>
    <col min="13" max="13" width="22.1640625" customWidth="1"/>
    <col min="14" max="14" width="19" customWidth="1"/>
    <col min="15" max="15" width="21.5" customWidth="1"/>
    <col min="17" max="17" width="22.1640625" customWidth="1"/>
    <col min="18" max="18" width="18.33203125" customWidth="1"/>
    <col min="19" max="19" width="18" customWidth="1"/>
    <col min="20" max="20" width="17.1640625" customWidth="1"/>
  </cols>
  <sheetData>
    <row r="3" spans="2:20" ht="100.75" customHeight="1" x14ac:dyDescent="0.2">
      <c r="B3" s="8"/>
      <c r="C3" s="13" t="s">
        <v>193</v>
      </c>
      <c r="D3" s="13" t="s">
        <v>194</v>
      </c>
      <c r="E3" s="13" t="s">
        <v>195</v>
      </c>
      <c r="G3" s="8"/>
      <c r="H3" s="13" t="str">
        <f>G4</f>
        <v>Trajanje procesa skraćuje se s prosječno 3–4 radna dana na manje od 1 radnog dana, jer se certifikat automatski generira odmah nakon validacije podataka.</v>
      </c>
      <c r="I3" s="13" t="str">
        <f>G5</f>
        <v>Trajanje kontrole smanjuje se s prosječno 1 radnog dana na 2–3 sata, jer nema potrebe za fizičkim dolaskom kontrolora.</v>
      </c>
      <c r="J3" s="13" t="str">
        <f>G6</f>
        <v>Vrijeme pripreme programa smanjuje se s prosječno 5 radnih dana na 1–2 radna dana, zahvaljujući digitalnom planiranju.</v>
      </c>
      <c r="L3" s="8"/>
      <c r="M3" s="13" t="str">
        <f>L4</f>
        <v>Trajanje procesa skraćuje se s prosječno 3–4 radna dana na manje od 1 radnog dana, jer se certifikat automatski generira odmah nakon validacije podataka.</v>
      </c>
      <c r="N3" s="13" t="str">
        <f>L5</f>
        <v>Trajanje kontrole smanjuje se s prosječno 1 radnog dana na 2–3 sata, jer nema potrebe za fizičkim dolaskom kontrolora.</v>
      </c>
      <c r="O3" s="13" t="str">
        <f>L6</f>
        <v>Vrijeme pripreme programa smanjuje se s prosječno 5 radnih dana na 1–2 radna dana, zahvaljujući digitalnom planiranju.</v>
      </c>
      <c r="Q3" s="8"/>
      <c r="R3" s="13" t="str">
        <f>Q4</f>
        <v>Trajanje procesa skraćuje se s prosječno 3–4 radna dana na manje od 1 radnog dana, jer se certifikat automatski generira odmah nakon validacije podataka.</v>
      </c>
      <c r="S3" s="13" t="str">
        <f>Q5</f>
        <v>Trajanje kontrole smanjuje se s prosječno 1 radnog dana na 2–3 sata, jer nema potrebe za fizičkim dolaskom kontrolora.</v>
      </c>
      <c r="T3" s="13" t="str">
        <f>Q6</f>
        <v>Vrijeme pripreme programa smanjuje se s prosječno 5 radnih dana na 1–2 radna dana, zahvaljujući digitalnom planiranju.</v>
      </c>
    </row>
    <row r="4" spans="2:20" ht="121.25" customHeight="1" x14ac:dyDescent="0.2">
      <c r="B4" s="12" t="s">
        <v>193</v>
      </c>
      <c r="C4" s="8">
        <v>1</v>
      </c>
      <c r="D4" s="8">
        <v>2</v>
      </c>
      <c r="E4" s="8">
        <v>3</v>
      </c>
      <c r="G4" s="13" t="str">
        <f>B4</f>
        <v>Trajanje procesa skraćuje se s prosječno 3–4 radna dana na manje od 1 radnog dana, jer se certifikat automatski generira odmah nakon validacije podataka.</v>
      </c>
      <c r="H4" s="8">
        <v>1</v>
      </c>
      <c r="I4" s="8">
        <v>1</v>
      </c>
      <c r="J4" s="8">
        <v>2</v>
      </c>
      <c r="L4" s="13" t="str">
        <f>G4</f>
        <v>Trajanje procesa skraćuje se s prosječno 3–4 radna dana na manje od 1 radnog dana, jer se certifikat automatski generira odmah nakon validacije podataka.</v>
      </c>
      <c r="M4" s="8">
        <v>1</v>
      </c>
      <c r="N4" s="8">
        <v>3</v>
      </c>
      <c r="O4" s="8">
        <v>4</v>
      </c>
      <c r="Q4" s="13" t="str">
        <f>L4</f>
        <v>Trajanje procesa skraćuje se s prosječno 3–4 radna dana na manje od 1 radnog dana, jer se certifikat automatski generira odmah nakon validacije podataka.</v>
      </c>
      <c r="R4" s="8">
        <f>GEOMEAN(C4,H4,M4)</f>
        <v>1</v>
      </c>
      <c r="S4" s="8">
        <f t="shared" ref="S4:T6" si="0">GEOMEAN(D4,I4,N4)</f>
        <v>1.8171205928321397</v>
      </c>
      <c r="T4" s="8">
        <f t="shared" si="0"/>
        <v>2.8844991406148166</v>
      </c>
    </row>
    <row r="5" spans="2:20" ht="109.25" customHeight="1" x14ac:dyDescent="0.2">
      <c r="B5" s="12" t="s">
        <v>194</v>
      </c>
      <c r="C5" s="8">
        <f>1/2</f>
        <v>0.5</v>
      </c>
      <c r="D5" s="8">
        <v>1</v>
      </c>
      <c r="E5" s="8">
        <v>2</v>
      </c>
      <c r="G5" s="13" t="str">
        <f t="shared" ref="G5:G6" si="1">B5</f>
        <v>Trajanje kontrole smanjuje se s prosječno 1 radnog dana na 2–3 sata, jer nema potrebe za fizičkim dolaskom kontrolora.</v>
      </c>
      <c r="H5" s="8">
        <v>1</v>
      </c>
      <c r="I5" s="8">
        <v>1</v>
      </c>
      <c r="J5" s="8">
        <v>4</v>
      </c>
      <c r="L5" s="13" t="str">
        <f t="shared" ref="L5:L6" si="2">G5</f>
        <v>Trajanje kontrole smanjuje se s prosječno 1 radnog dana na 2–3 sata, jer nema potrebe za fizičkim dolaskom kontrolora.</v>
      </c>
      <c r="M5" s="8">
        <f>1/3</f>
        <v>0.33333333333333331</v>
      </c>
      <c r="N5" s="8">
        <v>1</v>
      </c>
      <c r="O5" s="8">
        <v>2</v>
      </c>
      <c r="Q5" s="13" t="str">
        <f t="shared" ref="Q5:Q6" si="3">L5</f>
        <v>Trajanje kontrole smanjuje se s prosječno 1 radnog dana na 2–3 sata, jer nema potrebe za fizičkim dolaskom kontrolora.</v>
      </c>
      <c r="R5" s="8">
        <f t="shared" ref="R5:R6" si="4">GEOMEAN(C5,H5,M5)</f>
        <v>0.55032120814910446</v>
      </c>
      <c r="S5" s="8">
        <f t="shared" si="0"/>
        <v>1</v>
      </c>
      <c r="T5" s="8">
        <f t="shared" si="0"/>
        <v>2.5198420997897464</v>
      </c>
    </row>
    <row r="6" spans="2:20" ht="97.25" customHeight="1" x14ac:dyDescent="0.2">
      <c r="B6" s="12" t="s">
        <v>195</v>
      </c>
      <c r="C6" s="8">
        <f>1/3</f>
        <v>0.33333333333333331</v>
      </c>
      <c r="D6" s="8">
        <f>1/2</f>
        <v>0.5</v>
      </c>
      <c r="E6" s="8">
        <v>1</v>
      </c>
      <c r="G6" s="13" t="str">
        <f t="shared" si="1"/>
        <v>Vrijeme pripreme programa smanjuje se s prosječno 5 radnih dana na 1–2 radna dana, zahvaljujući digitalnom planiranju.</v>
      </c>
      <c r="H6" s="8">
        <f>1/2</f>
        <v>0.5</v>
      </c>
      <c r="I6" s="8">
        <f>1/4</f>
        <v>0.25</v>
      </c>
      <c r="J6" s="8">
        <v>1</v>
      </c>
      <c r="L6" s="13" t="str">
        <f t="shared" si="2"/>
        <v>Vrijeme pripreme programa smanjuje se s prosječno 5 radnih dana na 1–2 radna dana, zahvaljujući digitalnom planiranju.</v>
      </c>
      <c r="M6" s="8">
        <f>1/4</f>
        <v>0.25</v>
      </c>
      <c r="N6" s="8">
        <f>1/2</f>
        <v>0.5</v>
      </c>
      <c r="O6" s="8">
        <v>1</v>
      </c>
      <c r="Q6" s="13" t="str">
        <f t="shared" si="3"/>
        <v>Vrijeme pripreme programa smanjuje se s prosječno 5 radnih dana na 1–2 radna dana, zahvaljujući digitalnom planiranju.</v>
      </c>
      <c r="R6" s="8">
        <f t="shared" si="4"/>
        <v>0.34668063717531733</v>
      </c>
      <c r="S6" s="8">
        <f t="shared" si="0"/>
        <v>0.3968502629920499</v>
      </c>
      <c r="T6" s="8">
        <f t="shared" si="0"/>
        <v>1</v>
      </c>
    </row>
    <row r="8" spans="2:20" hidden="1" x14ac:dyDescent="0.2">
      <c r="C8" s="8">
        <f>SUM(C4:C6)</f>
        <v>1.8333333333333333</v>
      </c>
      <c r="D8" s="8">
        <f t="shared" ref="D8:E8" si="5">SUM(D4:D6)</f>
        <v>3.5</v>
      </c>
      <c r="E8" s="8">
        <f t="shared" si="5"/>
        <v>6</v>
      </c>
      <c r="H8" s="8">
        <f>SUM(H4:H6)</f>
        <v>2.5</v>
      </c>
      <c r="I8" s="8">
        <f t="shared" ref="I8:J8" si="6">SUM(I4:I6)</f>
        <v>2.25</v>
      </c>
      <c r="J8" s="8">
        <f t="shared" si="6"/>
        <v>7</v>
      </c>
      <c r="M8" s="8">
        <f>SUM(M4:M6)</f>
        <v>1.5833333333333333</v>
      </c>
      <c r="N8" s="8">
        <f t="shared" ref="N8:O8" si="7">SUM(N4:N6)</f>
        <v>4.5</v>
      </c>
      <c r="O8" s="8">
        <f t="shared" si="7"/>
        <v>7</v>
      </c>
      <c r="R8" s="8">
        <f>SUM(R4:R6)</f>
        <v>1.8970018453244217</v>
      </c>
      <c r="S8" s="8">
        <f t="shared" ref="S8:T8" si="8">SUM(S4:S6)</f>
        <v>3.21397085582419</v>
      </c>
      <c r="T8" s="8">
        <f t="shared" si="8"/>
        <v>6.4043412404045625</v>
      </c>
    </row>
    <row r="9" spans="2:20" hidden="1" x14ac:dyDescent="0.2"/>
    <row r="10" spans="2:20" hidden="1" x14ac:dyDescent="0.2"/>
    <row r="11" spans="2:20" hidden="1" x14ac:dyDescent="0.2">
      <c r="C11" s="8">
        <f>C4/C$8</f>
        <v>0.54545454545454553</v>
      </c>
      <c r="D11" s="8">
        <f>D4/D$8</f>
        <v>0.5714285714285714</v>
      </c>
      <c r="E11" s="8">
        <f>E4/E$8</f>
        <v>0.5</v>
      </c>
      <c r="H11" s="8">
        <f>H4/H$8</f>
        <v>0.4</v>
      </c>
      <c r="I11" s="8">
        <f>I4/I$8</f>
        <v>0.44444444444444442</v>
      </c>
      <c r="J11" s="8">
        <f>J4/J$8</f>
        <v>0.2857142857142857</v>
      </c>
      <c r="M11" s="8">
        <f>M4/M$8</f>
        <v>0.63157894736842113</v>
      </c>
      <c r="N11" s="8">
        <f>N4/N$8</f>
        <v>0.66666666666666663</v>
      </c>
      <c r="O11" s="8">
        <f>O4/O$8</f>
        <v>0.5714285714285714</v>
      </c>
      <c r="R11" s="8">
        <f>R4/R$8</f>
        <v>0.52714761583638936</v>
      </c>
      <c r="S11" s="8">
        <f>S4/S$8</f>
        <v>0.56538178917809689</v>
      </c>
      <c r="T11" s="8">
        <f>T4/T$8</f>
        <v>0.45039747763855925</v>
      </c>
    </row>
    <row r="12" spans="2:20" hidden="1" x14ac:dyDescent="0.2">
      <c r="C12" s="8">
        <f t="shared" ref="C12:E13" si="9">C5/C$8</f>
        <v>0.27272727272727276</v>
      </c>
      <c r="D12" s="8">
        <f t="shared" si="9"/>
        <v>0.2857142857142857</v>
      </c>
      <c r="E12" s="8">
        <f t="shared" si="9"/>
        <v>0.33333333333333331</v>
      </c>
      <c r="H12" s="8">
        <f t="shared" ref="H12:J13" si="10">H5/H$8</f>
        <v>0.4</v>
      </c>
      <c r="I12" s="8">
        <f t="shared" si="10"/>
        <v>0.44444444444444442</v>
      </c>
      <c r="J12" s="8">
        <f t="shared" si="10"/>
        <v>0.5714285714285714</v>
      </c>
      <c r="M12" s="8">
        <f t="shared" ref="M12:O13" si="11">M5/M$8</f>
        <v>0.21052631578947367</v>
      </c>
      <c r="N12" s="8">
        <f t="shared" si="11"/>
        <v>0.22222222222222221</v>
      </c>
      <c r="O12" s="8">
        <f t="shared" si="11"/>
        <v>0.2857142857142857</v>
      </c>
      <c r="R12" s="8">
        <f t="shared" ref="R12:T13" si="12">R5/R$8</f>
        <v>0.29010051282000177</v>
      </c>
      <c r="S12" s="8">
        <f t="shared" si="12"/>
        <v>0.3111415892859925</v>
      </c>
      <c r="T12" s="8">
        <f t="shared" si="12"/>
        <v>0.39345843783154938</v>
      </c>
    </row>
    <row r="13" spans="2:20" hidden="1" x14ac:dyDescent="0.2">
      <c r="C13" s="8">
        <f t="shared" si="9"/>
        <v>0.18181818181818182</v>
      </c>
      <c r="D13" s="8">
        <f t="shared" si="9"/>
        <v>0.14285714285714285</v>
      </c>
      <c r="E13" s="8">
        <f t="shared" si="9"/>
        <v>0.16666666666666666</v>
      </c>
      <c r="H13" s="8">
        <f t="shared" si="10"/>
        <v>0.2</v>
      </c>
      <c r="I13" s="8">
        <f t="shared" si="10"/>
        <v>0.1111111111111111</v>
      </c>
      <c r="J13" s="8">
        <f t="shared" si="10"/>
        <v>0.14285714285714285</v>
      </c>
      <c r="M13" s="8">
        <f t="shared" si="11"/>
        <v>0.15789473684210528</v>
      </c>
      <c r="N13" s="8">
        <f t="shared" si="11"/>
        <v>0.1111111111111111</v>
      </c>
      <c r="O13" s="8">
        <f t="shared" si="11"/>
        <v>0.14285714285714285</v>
      </c>
      <c r="R13" s="8">
        <f t="shared" si="12"/>
        <v>0.18275187134360887</v>
      </c>
      <c r="S13" s="8">
        <f t="shared" si="12"/>
        <v>0.12347662153591051</v>
      </c>
      <c r="T13" s="8">
        <f t="shared" si="12"/>
        <v>0.15614408452989148</v>
      </c>
    </row>
    <row r="14" spans="2:20" hidden="1" x14ac:dyDescent="0.2"/>
    <row r="15" spans="2:20" x14ac:dyDescent="0.2">
      <c r="D15" s="8" t="str">
        <f>B4</f>
        <v>Trajanje procesa skraćuje se s prosječno 3–4 radna dana na manje od 1 radnog dana, jer se certifikat automatski generira odmah nakon validacije podataka.</v>
      </c>
      <c r="E15" s="8">
        <f>AVERAGE(C11:E11)</f>
        <v>0.53896103896103897</v>
      </c>
      <c r="I15" s="8" t="str">
        <f>G4</f>
        <v>Trajanje procesa skraćuje se s prosječno 3–4 radna dana na manje od 1 radnog dana, jer se certifikat automatski generira odmah nakon validacije podataka.</v>
      </c>
      <c r="J15" s="8">
        <f>AVERAGE(H11:J11)</f>
        <v>0.37671957671957673</v>
      </c>
      <c r="N15" s="8" t="str">
        <f>L4</f>
        <v>Trajanje procesa skraćuje se s prosječno 3–4 radna dana na manje od 1 radnog dana, jer se certifikat automatski generira odmah nakon validacije podataka.</v>
      </c>
      <c r="O15" s="8">
        <f>AVERAGE(M11:O11)</f>
        <v>0.62322472848788635</v>
      </c>
      <c r="S15" s="8" t="str">
        <f>Q4</f>
        <v>Trajanje procesa skraćuje se s prosječno 3–4 radna dana na manje od 1 radnog dana, jer se certifikat automatski generira odmah nakon validacije podataka.</v>
      </c>
      <c r="T15" s="11">
        <f>AVERAGE(R11:T11)</f>
        <v>0.51430896088434852</v>
      </c>
    </row>
    <row r="16" spans="2:20" x14ac:dyDescent="0.2">
      <c r="D16" s="8" t="str">
        <f t="shared" ref="D16:D17" si="13">B5</f>
        <v>Trajanje kontrole smanjuje se s prosječno 1 radnog dana na 2–3 sata, jer nema potrebe za fizičkim dolaskom kontrolora.</v>
      </c>
      <c r="E16" s="8">
        <f t="shared" ref="E16:E17" si="14">AVERAGE(C12:E12)</f>
        <v>0.29725829725829728</v>
      </c>
      <c r="I16" s="8" t="str">
        <f t="shared" ref="I16:I17" si="15">G5</f>
        <v>Trajanje kontrole smanjuje se s prosječno 1 radnog dana na 2–3 sata, jer nema potrebe za fizičkim dolaskom kontrolora.</v>
      </c>
      <c r="J16" s="8">
        <f t="shared" ref="J16:J17" si="16">AVERAGE(H12:J12)</f>
        <v>0.47195767195767191</v>
      </c>
      <c r="N16" s="8" t="str">
        <f t="shared" ref="N16:N17" si="17">L5</f>
        <v>Trajanje kontrole smanjuje se s prosječno 1 radnog dana na 2–3 sata, jer nema potrebe za fizičkim dolaskom kontrolora.</v>
      </c>
      <c r="O16" s="8">
        <f t="shared" ref="O16:O17" si="18">AVERAGE(M12:O12)</f>
        <v>0.23948760790866053</v>
      </c>
      <c r="S16" s="8" t="str">
        <f t="shared" ref="S16:S17" si="19">Q5</f>
        <v>Trajanje kontrole smanjuje se s prosječno 1 radnog dana na 2–3 sata, jer nema potrebe za fizičkim dolaskom kontrolora.</v>
      </c>
      <c r="T16" s="11">
        <f t="shared" ref="T16:T17" si="20">AVERAGE(R12:T12)</f>
        <v>0.3315668466458479</v>
      </c>
    </row>
    <row r="17" spans="2:20" x14ac:dyDescent="0.2">
      <c r="D17" s="8" t="str">
        <f t="shared" si="13"/>
        <v>Vrijeme pripreme programa smanjuje se s prosječno 5 radnih dana na 1–2 radna dana, zahvaljujući digitalnom planiranju.</v>
      </c>
      <c r="E17" s="8">
        <f t="shared" si="14"/>
        <v>0.16378066378066378</v>
      </c>
      <c r="I17" s="8" t="str">
        <f t="shared" si="15"/>
        <v>Vrijeme pripreme programa smanjuje se s prosječno 5 radnih dana na 1–2 radna dana, zahvaljujući digitalnom planiranju.</v>
      </c>
      <c r="J17" s="8">
        <f t="shared" si="16"/>
        <v>0.15132275132275133</v>
      </c>
      <c r="N17" s="8" t="str">
        <f t="shared" si="17"/>
        <v>Vrijeme pripreme programa smanjuje se s prosječno 5 radnih dana na 1–2 radna dana, zahvaljujući digitalnom planiranju.</v>
      </c>
      <c r="O17" s="8">
        <f t="shared" si="18"/>
        <v>0.13728766360345307</v>
      </c>
      <c r="S17" s="8" t="str">
        <f t="shared" si="19"/>
        <v>Vrijeme pripreme programa smanjuje se s prosječno 5 radnih dana na 1–2 radna dana, zahvaljujući digitalnom planiranju.</v>
      </c>
      <c r="T17" s="11">
        <f t="shared" si="20"/>
        <v>0.15412419246980361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0.53896103896103897</v>
      </c>
      <c r="D21" s="8">
        <f>D4*E$16</f>
        <v>0.59451659451659455</v>
      </c>
      <c r="E21" s="8">
        <f>E4*E$17</f>
        <v>0.4913419913419913</v>
      </c>
      <c r="H21" s="8">
        <f>H4*J$15</f>
        <v>0.37671957671957673</v>
      </c>
      <c r="I21" s="8">
        <f>I4*J$16</f>
        <v>0.47195767195767191</v>
      </c>
      <c r="J21" s="8">
        <f>J4*J$17</f>
        <v>0.30264550264550266</v>
      </c>
      <c r="M21" s="8">
        <f>M4*O$15</f>
        <v>0.62322472848788635</v>
      </c>
      <c r="N21" s="8">
        <f>N4*O$16</f>
        <v>0.71846282372598158</v>
      </c>
      <c r="O21" s="8">
        <f>O4*O$17</f>
        <v>0.54915065441381228</v>
      </c>
      <c r="R21" s="8">
        <f>R4*T$15</f>
        <v>0.51430896088434852</v>
      </c>
      <c r="S21" s="8">
        <f>S4*T$16</f>
        <v>0.60249694494058625</v>
      </c>
      <c r="T21" s="8">
        <f>T4*T$17</f>
        <v>0.4445711007271011</v>
      </c>
    </row>
    <row r="22" spans="2:20" hidden="1" x14ac:dyDescent="0.2">
      <c r="C22" s="8">
        <f t="shared" ref="C22:C23" si="21">C5*E$15</f>
        <v>0.26948051948051949</v>
      </c>
      <c r="D22" s="8">
        <f t="shared" ref="D22:D23" si="22">D5*E$16</f>
        <v>0.29725829725829728</v>
      </c>
      <c r="E22" s="8">
        <f t="shared" ref="E22:E23" si="23">E5*E$17</f>
        <v>0.32756132756132755</v>
      </c>
      <c r="H22" s="8">
        <f t="shared" ref="H22:H23" si="24">H5*J$15</f>
        <v>0.37671957671957673</v>
      </c>
      <c r="I22" s="8">
        <f t="shared" ref="I22:I23" si="25">I5*J$16</f>
        <v>0.47195767195767191</v>
      </c>
      <c r="J22" s="8">
        <f t="shared" ref="J22:J23" si="26">J5*J$17</f>
        <v>0.60529100529100532</v>
      </c>
      <c r="M22" s="8">
        <f t="shared" ref="M22:M23" si="27">M5*O$15</f>
        <v>0.20774157616262878</v>
      </c>
      <c r="N22" s="8">
        <f t="shared" ref="N22:N23" si="28">N5*O$16</f>
        <v>0.23948760790866053</v>
      </c>
      <c r="O22" s="8">
        <f t="shared" ref="O22:O23" si="29">O5*O$17</f>
        <v>0.27457532720690614</v>
      </c>
      <c r="R22" s="8">
        <f t="shared" ref="R22:R23" si="30">R5*T$15</f>
        <v>0.28303512871578518</v>
      </c>
      <c r="S22" s="8">
        <f t="shared" ref="S22:S23" si="31">S5*T$16</f>
        <v>0.3315668466458479</v>
      </c>
      <c r="T22" s="8">
        <f t="shared" ref="T22:T23" si="32">T5*T$17</f>
        <v>0.38836862878150896</v>
      </c>
    </row>
    <row r="23" spans="2:20" hidden="1" x14ac:dyDescent="0.2">
      <c r="C23" s="8">
        <f t="shared" si="21"/>
        <v>0.17965367965367965</v>
      </c>
      <c r="D23" s="8">
        <f t="shared" si="22"/>
        <v>0.14862914862914864</v>
      </c>
      <c r="E23" s="8">
        <f t="shared" si="23"/>
        <v>0.16378066378066378</v>
      </c>
      <c r="H23" s="8">
        <f t="shared" si="24"/>
        <v>0.18835978835978837</v>
      </c>
      <c r="I23" s="8">
        <f t="shared" si="25"/>
        <v>0.11798941798941798</v>
      </c>
      <c r="J23" s="8">
        <f t="shared" si="26"/>
        <v>0.15132275132275133</v>
      </c>
      <c r="M23" s="8">
        <f t="shared" si="27"/>
        <v>0.15580618212197159</v>
      </c>
      <c r="N23" s="8">
        <f t="shared" si="28"/>
        <v>0.11974380395433026</v>
      </c>
      <c r="O23" s="8">
        <f t="shared" si="29"/>
        <v>0.13728766360345307</v>
      </c>
      <c r="R23" s="8">
        <f t="shared" si="30"/>
        <v>0.17830095826436129</v>
      </c>
      <c r="S23" s="8">
        <f t="shared" si="31"/>
        <v>0.13158239029084942</v>
      </c>
      <c r="T23" s="8">
        <f t="shared" si="32"/>
        <v>0.15412419246980361</v>
      </c>
    </row>
    <row r="24" spans="2:20" hidden="1" x14ac:dyDescent="0.2"/>
    <row r="25" spans="2:20" hidden="1" x14ac:dyDescent="0.2">
      <c r="C25" s="8">
        <f>SUM(C21:E21)</f>
        <v>1.6248196248196249</v>
      </c>
      <c r="D25" s="8">
        <f>SUM(C22:E22)</f>
        <v>0.89430014430014437</v>
      </c>
      <c r="E25" s="8">
        <f>SUM(C23:E23)</f>
        <v>0.49206349206349209</v>
      </c>
      <c r="H25" s="8">
        <f>SUM(H21:J21)</f>
        <v>1.1513227513227513</v>
      </c>
      <c r="I25" s="8">
        <f>SUM(H22:J22)</f>
        <v>1.4539682539682541</v>
      </c>
      <c r="J25" s="8">
        <f>SUM(H23:J23)</f>
        <v>0.45767195767195767</v>
      </c>
      <c r="M25" s="8">
        <f>SUM(M21:O21)</f>
        <v>1.8908382066276801</v>
      </c>
      <c r="N25" s="8">
        <f>SUM(M22:O22)</f>
        <v>0.72180451127819545</v>
      </c>
      <c r="O25" s="8">
        <f>SUM(M23:O23)</f>
        <v>0.41283764967975495</v>
      </c>
      <c r="R25" s="8">
        <f>SUM(R21:T21)</f>
        <v>1.561377006552036</v>
      </c>
      <c r="S25" s="8">
        <f>SUM(R22:T22)</f>
        <v>1.0029706041431421</v>
      </c>
      <c r="T25" s="8">
        <f>SUM(R23:T23)</f>
        <v>0.46400754102501429</v>
      </c>
    </row>
    <row r="26" spans="2:20" hidden="1" x14ac:dyDescent="0.2"/>
    <row r="27" spans="2:20" hidden="1" x14ac:dyDescent="0.2">
      <c r="C27" s="8">
        <f>E15</f>
        <v>0.53896103896103897</v>
      </c>
      <c r="D27" s="8">
        <f>E16</f>
        <v>0.29725829725829728</v>
      </c>
      <c r="E27" s="8">
        <f>E17</f>
        <v>0.16378066378066378</v>
      </c>
      <c r="H27" s="8">
        <f>J15</f>
        <v>0.37671957671957673</v>
      </c>
      <c r="I27" s="8">
        <f>J16</f>
        <v>0.47195767195767191</v>
      </c>
      <c r="J27" s="8">
        <f>J17</f>
        <v>0.15132275132275133</v>
      </c>
      <c r="M27" s="8">
        <f>O15</f>
        <v>0.62322472848788635</v>
      </c>
      <c r="N27" s="8">
        <f>O16</f>
        <v>0.23948760790866053</v>
      </c>
      <c r="O27" s="8">
        <f>O17</f>
        <v>0.13728766360345307</v>
      </c>
      <c r="R27" s="8">
        <f>T15</f>
        <v>0.51430896088434852</v>
      </c>
      <c r="S27" s="8">
        <f>T16</f>
        <v>0.3315668466458479</v>
      </c>
      <c r="T27" s="8">
        <f>T17</f>
        <v>0.15412419246980361</v>
      </c>
    </row>
    <row r="28" spans="2:20" hidden="1" x14ac:dyDescent="0.2"/>
    <row r="29" spans="2:20" hidden="1" x14ac:dyDescent="0.2">
      <c r="C29" s="8">
        <f>C25/C27</f>
        <v>3.0147255689424366</v>
      </c>
      <c r="D29" s="8">
        <f t="shared" ref="D29:E29" si="33">D25/D27</f>
        <v>3.008495145631068</v>
      </c>
      <c r="E29" s="8">
        <f t="shared" si="33"/>
        <v>3.0044052863436126</v>
      </c>
      <c r="H29" s="8">
        <f>H25/H27</f>
        <v>3.0561797752808988</v>
      </c>
      <c r="I29" s="8">
        <f t="shared" ref="I29:J29" si="34">I25/I27</f>
        <v>3.0807174887892383</v>
      </c>
      <c r="J29" s="8">
        <f t="shared" si="34"/>
        <v>3.0244755244755241</v>
      </c>
      <c r="M29" s="8">
        <f>M25/M27</f>
        <v>3.0339588918677389</v>
      </c>
      <c r="N29" s="8">
        <f t="shared" ref="N29:O29" si="35">N25/N27</f>
        <v>3.0139534883720929</v>
      </c>
      <c r="O29" s="8">
        <f t="shared" si="35"/>
        <v>3.0070993914807302</v>
      </c>
      <c r="R29" s="8">
        <f>R25/R27</f>
        <v>3.0358736193654212</v>
      </c>
      <c r="S29" s="8">
        <f t="shared" ref="S29:T29" si="36">S25/S27</f>
        <v>3.0249423737302417</v>
      </c>
      <c r="T29" s="8">
        <f t="shared" si="36"/>
        <v>3.0106080920159486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3.0092086669723721</v>
      </c>
      <c r="I31" s="8" t="s">
        <v>20</v>
      </c>
      <c r="J31" s="8">
        <f>AVERAGE(H29:J29)</f>
        <v>3.053790929515221</v>
      </c>
      <c r="N31" s="8" t="s">
        <v>20</v>
      </c>
      <c r="O31" s="8">
        <f>AVERAGE(M29:O29)</f>
        <v>3.0183372572401872</v>
      </c>
      <c r="S31" s="8" t="s">
        <v>20</v>
      </c>
      <c r="T31" s="8">
        <f>AVERAGE(R29:T29)</f>
        <v>3.0238080283705369</v>
      </c>
    </row>
    <row r="32" spans="2:20" hidden="1" x14ac:dyDescent="0.2">
      <c r="D32" s="8" t="s">
        <v>21</v>
      </c>
      <c r="E32" s="8">
        <f>(E31-3)/2</f>
        <v>4.6043334861860519E-3</v>
      </c>
      <c r="I32" s="8" t="s">
        <v>21</v>
      </c>
      <c r="J32" s="8">
        <f>(J31-3)/2</f>
        <v>2.689546475761051E-2</v>
      </c>
      <c r="N32" s="8" t="s">
        <v>21</v>
      </c>
      <c r="O32" s="8">
        <f>(O31-3)/2</f>
        <v>9.1686286200935996E-3</v>
      </c>
      <c r="S32" s="8" t="s">
        <v>21</v>
      </c>
      <c r="T32" s="8">
        <f>(T31-3)/2</f>
        <v>1.190401418526843E-2</v>
      </c>
    </row>
    <row r="33" spans="4:20" x14ac:dyDescent="0.2">
      <c r="D33" s="8" t="s">
        <v>22</v>
      </c>
      <c r="E33" s="8">
        <f>E32/0.52</f>
        <v>8.8544874734347145E-3</v>
      </c>
      <c r="I33" s="8" t="s">
        <v>22</v>
      </c>
      <c r="J33" s="8">
        <f>J32/0.52</f>
        <v>5.172204761078944E-2</v>
      </c>
      <c r="N33" s="8" t="s">
        <v>22</v>
      </c>
      <c r="O33" s="8">
        <f>O32/0.52</f>
        <v>1.7631978115564613E-2</v>
      </c>
      <c r="S33" s="8" t="s">
        <v>22</v>
      </c>
      <c r="T33" s="8">
        <f>T32/0.52</f>
        <v>2.2892334971670057E-2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6CF4-BE0A-744F-B4EF-5F46F5B706E1}">
  <dimension ref="B3:T33"/>
  <sheetViews>
    <sheetView workbookViewId="0">
      <selection activeCell="J20" sqref="J20"/>
    </sheetView>
  </sheetViews>
  <sheetFormatPr baseColWidth="10" defaultColWidth="8.83203125" defaultRowHeight="15" x14ac:dyDescent="0.2"/>
  <cols>
    <col min="2" max="2" width="25.33203125" customWidth="1"/>
    <col min="3" max="3" width="21.83203125" customWidth="1"/>
    <col min="4" max="4" width="23.83203125" customWidth="1"/>
    <col min="5" max="5" width="20.5" customWidth="1"/>
    <col min="7" max="7" width="24.83203125" customWidth="1"/>
    <col min="8" max="8" width="19.33203125" customWidth="1"/>
    <col min="9" max="9" width="20.1640625" customWidth="1"/>
    <col min="10" max="10" width="16.83203125" customWidth="1"/>
    <col min="12" max="12" width="24.33203125" customWidth="1"/>
    <col min="13" max="13" width="22.1640625" customWidth="1"/>
    <col min="14" max="14" width="19" customWidth="1"/>
    <col min="15" max="15" width="21.5" customWidth="1"/>
    <col min="17" max="17" width="25.1640625" customWidth="1"/>
    <col min="18" max="18" width="18.33203125" customWidth="1"/>
    <col min="19" max="19" width="18" customWidth="1"/>
    <col min="20" max="20" width="17.1640625" customWidth="1"/>
  </cols>
  <sheetData>
    <row r="3" spans="2:20" ht="100.75" customHeight="1" x14ac:dyDescent="0.2">
      <c r="B3" s="8"/>
      <c r="C3" s="13" t="s">
        <v>196</v>
      </c>
      <c r="D3" s="13" t="s">
        <v>197</v>
      </c>
      <c r="E3" s="13" t="s">
        <v>198</v>
      </c>
      <c r="G3" s="8"/>
      <c r="H3" s="13" t="str">
        <f>G4</f>
        <v>Broj pogrešno izdanih ili ispravljenih certifikata smanjuje se za približno 60 % jer automatizirani sustav uklanja ručni unos podataka i generira certifikat na temelju prethodno validirane dokumentacije.</v>
      </c>
      <c r="I3" s="13" t="str">
        <f>G5</f>
        <v>Broj ponovljenih kontrola zbog nepotpunih ili nejasnih nalaza smanjuje se za približno 40 %, jer su svi koraci digitalno zabilježeni.</v>
      </c>
      <c r="J3" s="13" t="str">
        <f>G6</f>
        <v>Standardizirani digitalni tijek rada smanjuje organizacijske pogreške tijekom pripreme i provedbe aktivnosti za 30–40 %.</v>
      </c>
      <c r="L3" s="8"/>
      <c r="M3" s="13" t="str">
        <f>L4</f>
        <v>Broj pogrešno izdanih ili ispravljenih certifikata smanjuje se za približno 60 % jer automatizirani sustav uklanja ručni unos podataka i generira certifikat na temelju prethodno validirane dokumentacije.</v>
      </c>
      <c r="N3" s="13" t="str">
        <f>L5</f>
        <v>Broj ponovljenih kontrola zbog nepotpunih ili nejasnih nalaza smanjuje se za približno 40 %, jer su svi koraci digitalno zabilježeni.</v>
      </c>
      <c r="O3" s="13" t="str">
        <f>L6</f>
        <v>Standardizirani digitalni tijek rada smanjuje organizacijske pogreške tijekom pripreme i provedbe aktivnosti za 30–40 %.</v>
      </c>
      <c r="Q3" s="8"/>
      <c r="R3" s="13" t="str">
        <f>Q4</f>
        <v>Broj pogrešno izdanih ili ispravljenih certifikata smanjuje se za približno 60 % jer automatizirani sustav uklanja ručni unos podataka i generira certifikat na temelju prethodno validirane dokumentacije.</v>
      </c>
      <c r="S3" s="13" t="str">
        <f>Q5</f>
        <v>Broj ponovljenih kontrola zbog nepotpunih ili nejasnih nalaza smanjuje se za približno 40 %, jer su svi koraci digitalno zabilježeni.</v>
      </c>
      <c r="T3" s="13" t="str">
        <f>Q6</f>
        <v>Standardizirani digitalni tijek rada smanjuje organizacijske pogreške tijekom pripreme i provedbe aktivnosti za 30–40 %.</v>
      </c>
    </row>
    <row r="4" spans="2:20" ht="121.25" customHeight="1" x14ac:dyDescent="0.2">
      <c r="B4" s="12" t="s">
        <v>196</v>
      </c>
      <c r="C4" s="8">
        <v>1</v>
      </c>
      <c r="D4" s="8">
        <f>1/2</f>
        <v>0.5</v>
      </c>
      <c r="E4" s="8">
        <f>1/2</f>
        <v>0.5</v>
      </c>
      <c r="G4" s="13" t="str">
        <f>B4</f>
        <v>Broj pogrešno izdanih ili ispravljenih certifikata smanjuje se za približno 60 % jer automatizirani sustav uklanja ručni unos podataka i generira certifikat na temelju prethodno validirane dokumentacije.</v>
      </c>
      <c r="H4" s="8">
        <v>1</v>
      </c>
      <c r="I4" s="8">
        <v>1</v>
      </c>
      <c r="J4" s="8">
        <v>2</v>
      </c>
      <c r="L4" s="13" t="str">
        <f>G4</f>
        <v>Broj pogrešno izdanih ili ispravljenih certifikata smanjuje se za približno 60 % jer automatizirani sustav uklanja ručni unos podataka i generira certifikat na temelju prethodno validirane dokumentacije.</v>
      </c>
      <c r="M4" s="8">
        <v>1</v>
      </c>
      <c r="N4" s="8">
        <v>2</v>
      </c>
      <c r="O4" s="8">
        <v>5</v>
      </c>
      <c r="Q4" s="13" t="str">
        <f>L4</f>
        <v>Broj pogrešno izdanih ili ispravljenih certifikata smanjuje se za približno 60 % jer automatizirani sustav uklanja ručni unos podataka i generira certifikat na temelju prethodno validirane dokumentacije.</v>
      </c>
      <c r="R4" s="8">
        <f>GEOMEAN(C4,H4,M4)</f>
        <v>1</v>
      </c>
      <c r="S4" s="8">
        <f t="shared" ref="S4:T6" si="0">GEOMEAN(D4,I4,N4)</f>
        <v>1</v>
      </c>
      <c r="T4" s="8">
        <f t="shared" si="0"/>
        <v>1.7099759466766968</v>
      </c>
    </row>
    <row r="5" spans="2:20" ht="109.25" customHeight="1" x14ac:dyDescent="0.2">
      <c r="B5" s="12" t="s">
        <v>197</v>
      </c>
      <c r="C5" s="8">
        <v>2</v>
      </c>
      <c r="D5" s="8">
        <v>1</v>
      </c>
      <c r="E5" s="8">
        <v>2</v>
      </c>
      <c r="G5" s="13" t="str">
        <f t="shared" ref="G5:G6" si="1">B5</f>
        <v>Broj ponovljenih kontrola zbog nepotpunih ili nejasnih nalaza smanjuje se za približno 40 %, jer su svi koraci digitalno zabilježeni.</v>
      </c>
      <c r="H5" s="8">
        <v>1</v>
      </c>
      <c r="I5" s="8">
        <v>1</v>
      </c>
      <c r="J5" s="8">
        <v>3</v>
      </c>
      <c r="L5" s="13" t="str">
        <f t="shared" ref="L5:L6" si="2">G5</f>
        <v>Broj ponovljenih kontrola zbog nepotpunih ili nejasnih nalaza smanjuje se za približno 40 %, jer su svi koraci digitalno zabilježeni.</v>
      </c>
      <c r="M5" s="8">
        <f>1/2</f>
        <v>0.5</v>
      </c>
      <c r="N5" s="8">
        <v>1</v>
      </c>
      <c r="O5" s="8">
        <v>5</v>
      </c>
      <c r="Q5" s="13" t="str">
        <f t="shared" ref="Q5:Q6" si="3">L5</f>
        <v>Broj ponovljenih kontrola zbog nepotpunih ili nejasnih nalaza smanjuje se za približno 40 %, jer su svi koraci digitalno zabilježeni.</v>
      </c>
      <c r="R5" s="8">
        <f t="shared" ref="R5:R6" si="4">GEOMEAN(C5,H5,M5)</f>
        <v>1</v>
      </c>
      <c r="S5" s="8">
        <f t="shared" si="0"/>
        <v>1</v>
      </c>
      <c r="T5" s="8">
        <f t="shared" si="0"/>
        <v>3.1072325059538586</v>
      </c>
    </row>
    <row r="6" spans="2:20" ht="97.25" customHeight="1" x14ac:dyDescent="0.2">
      <c r="B6" s="12" t="s">
        <v>198</v>
      </c>
      <c r="C6" s="8">
        <v>2</v>
      </c>
      <c r="D6" s="8">
        <f>1/2</f>
        <v>0.5</v>
      </c>
      <c r="E6" s="8">
        <v>1</v>
      </c>
      <c r="G6" s="13" t="str">
        <f t="shared" si="1"/>
        <v>Standardizirani digitalni tijek rada smanjuje organizacijske pogreške tijekom pripreme i provedbe aktivnosti za 30–40 %.</v>
      </c>
      <c r="H6" s="8">
        <f>1/2</f>
        <v>0.5</v>
      </c>
      <c r="I6" s="8">
        <f>1/3</f>
        <v>0.33333333333333331</v>
      </c>
      <c r="J6" s="8">
        <v>1</v>
      </c>
      <c r="L6" s="13" t="str">
        <f t="shared" si="2"/>
        <v>Standardizirani digitalni tijek rada smanjuje organizacijske pogreške tijekom pripreme i provedbe aktivnosti za 30–40 %.</v>
      </c>
      <c r="M6" s="8">
        <f>1/5</f>
        <v>0.2</v>
      </c>
      <c r="N6" s="8">
        <f>1/5</f>
        <v>0.2</v>
      </c>
      <c r="O6" s="8">
        <v>1</v>
      </c>
      <c r="Q6" s="13" t="str">
        <f t="shared" si="3"/>
        <v>Standardizirani digitalni tijek rada smanjuje organizacijske pogreške tijekom pripreme i provedbe aktivnosti za 30–40 %.</v>
      </c>
      <c r="R6" s="8">
        <f t="shared" si="4"/>
        <v>0.58480354764257325</v>
      </c>
      <c r="S6" s="8">
        <f t="shared" si="0"/>
        <v>0.32182979486854324</v>
      </c>
      <c r="T6" s="8">
        <f t="shared" si="0"/>
        <v>1</v>
      </c>
    </row>
    <row r="8" spans="2:20" hidden="1" x14ac:dyDescent="0.2">
      <c r="C8" s="8">
        <f>SUM(C4:C6)</f>
        <v>5</v>
      </c>
      <c r="D8" s="8">
        <f t="shared" ref="D8:E8" si="5">SUM(D4:D6)</f>
        <v>2</v>
      </c>
      <c r="E8" s="8">
        <f t="shared" si="5"/>
        <v>3.5</v>
      </c>
      <c r="H8" s="8">
        <f>SUM(H4:H6)</f>
        <v>2.5</v>
      </c>
      <c r="I8" s="8">
        <f t="shared" ref="I8:J8" si="6">SUM(I4:I6)</f>
        <v>2.3333333333333335</v>
      </c>
      <c r="J8" s="8">
        <f t="shared" si="6"/>
        <v>6</v>
      </c>
      <c r="M8" s="8">
        <f>SUM(M4:M6)</f>
        <v>1.7</v>
      </c>
      <c r="N8" s="8">
        <f t="shared" ref="N8:O8" si="7">SUM(N4:N6)</f>
        <v>3.2</v>
      </c>
      <c r="O8" s="8">
        <f t="shared" si="7"/>
        <v>11</v>
      </c>
      <c r="R8" s="8">
        <f>SUM(R4:R6)</f>
        <v>2.584803547642573</v>
      </c>
      <c r="S8" s="8">
        <f t="shared" ref="S8:T8" si="8">SUM(S4:S6)</f>
        <v>2.3218297948685431</v>
      </c>
      <c r="T8" s="8">
        <f t="shared" si="8"/>
        <v>5.8172084526305552</v>
      </c>
    </row>
    <row r="9" spans="2:20" hidden="1" x14ac:dyDescent="0.2"/>
    <row r="10" spans="2:20" hidden="1" x14ac:dyDescent="0.2"/>
    <row r="11" spans="2:20" hidden="1" x14ac:dyDescent="0.2">
      <c r="C11" s="8">
        <f>C4/C$8</f>
        <v>0.2</v>
      </c>
      <c r="D11" s="8">
        <f>D4/D$8</f>
        <v>0.25</v>
      </c>
      <c r="E11" s="8">
        <f>E4/E$8</f>
        <v>0.14285714285714285</v>
      </c>
      <c r="H11" s="8">
        <f>H4/H$8</f>
        <v>0.4</v>
      </c>
      <c r="I11" s="8">
        <f>I4/I$8</f>
        <v>0.42857142857142855</v>
      </c>
      <c r="J11" s="8">
        <f>J4/J$8</f>
        <v>0.33333333333333331</v>
      </c>
      <c r="M11" s="8">
        <f>M4/M$8</f>
        <v>0.58823529411764708</v>
      </c>
      <c r="N11" s="8">
        <f>N4/N$8</f>
        <v>0.625</v>
      </c>
      <c r="O11" s="8">
        <f>O4/O$8</f>
        <v>0.45454545454545453</v>
      </c>
      <c r="R11" s="8">
        <f>R4/R$8</f>
        <v>0.38687659683538944</v>
      </c>
      <c r="S11" s="8">
        <f>S4/S$8</f>
        <v>0.43069479175867748</v>
      </c>
      <c r="T11" s="8">
        <f>T4/T$8</f>
        <v>0.29395129306453538</v>
      </c>
    </row>
    <row r="12" spans="2:20" hidden="1" x14ac:dyDescent="0.2">
      <c r="C12" s="8">
        <f t="shared" ref="C12:E13" si="9">C5/C$8</f>
        <v>0.4</v>
      </c>
      <c r="D12" s="8">
        <f t="shared" si="9"/>
        <v>0.5</v>
      </c>
      <c r="E12" s="8">
        <f t="shared" si="9"/>
        <v>0.5714285714285714</v>
      </c>
      <c r="H12" s="8">
        <f t="shared" ref="H12:J13" si="10">H5/H$8</f>
        <v>0.4</v>
      </c>
      <c r="I12" s="8">
        <f t="shared" si="10"/>
        <v>0.42857142857142855</v>
      </c>
      <c r="J12" s="8">
        <f t="shared" si="10"/>
        <v>0.5</v>
      </c>
      <c r="M12" s="8">
        <f t="shared" ref="M12:O13" si="11">M5/M$8</f>
        <v>0.29411764705882354</v>
      </c>
      <c r="N12" s="8">
        <f t="shared" si="11"/>
        <v>0.3125</v>
      </c>
      <c r="O12" s="8">
        <f t="shared" si="11"/>
        <v>0.45454545454545453</v>
      </c>
      <c r="R12" s="8">
        <f t="shared" ref="R12:T13" si="12">R5/R$8</f>
        <v>0.38687659683538944</v>
      </c>
      <c r="S12" s="8">
        <f t="shared" si="12"/>
        <v>0.43069479175867748</v>
      </c>
      <c r="T12" s="8">
        <f t="shared" si="12"/>
        <v>0.53414494791720257</v>
      </c>
    </row>
    <row r="13" spans="2:20" hidden="1" x14ac:dyDescent="0.2">
      <c r="C13" s="8">
        <f t="shared" si="9"/>
        <v>0.4</v>
      </c>
      <c r="D13" s="8">
        <f t="shared" si="9"/>
        <v>0.25</v>
      </c>
      <c r="E13" s="8">
        <f t="shared" si="9"/>
        <v>0.2857142857142857</v>
      </c>
      <c r="H13" s="8">
        <f t="shared" si="10"/>
        <v>0.2</v>
      </c>
      <c r="I13" s="8">
        <f t="shared" si="10"/>
        <v>0.14285714285714285</v>
      </c>
      <c r="J13" s="8">
        <f t="shared" si="10"/>
        <v>0.16666666666666666</v>
      </c>
      <c r="M13" s="8">
        <f t="shared" si="11"/>
        <v>0.11764705882352942</v>
      </c>
      <c r="N13" s="8">
        <f t="shared" si="11"/>
        <v>6.25E-2</v>
      </c>
      <c r="O13" s="8">
        <f t="shared" si="11"/>
        <v>9.0909090909090912E-2</v>
      </c>
      <c r="R13" s="8">
        <f t="shared" si="12"/>
        <v>0.22624680632922126</v>
      </c>
      <c r="S13" s="8">
        <f t="shared" si="12"/>
        <v>0.1386104164826451</v>
      </c>
      <c r="T13" s="8">
        <f t="shared" si="12"/>
        <v>0.17190375901826205</v>
      </c>
    </row>
    <row r="14" spans="2:20" hidden="1" x14ac:dyDescent="0.2"/>
    <row r="15" spans="2:20" x14ac:dyDescent="0.2">
      <c r="D15" s="8" t="str">
        <f>B4</f>
        <v>Broj pogrešno izdanih ili ispravljenih certifikata smanjuje se za približno 60 % jer automatizirani sustav uklanja ručni unos podataka i generira certifikat na temelju prethodno validirane dokumentacije.</v>
      </c>
      <c r="E15" s="8">
        <f>AVERAGE(C11:E11)</f>
        <v>0.19761904761904761</v>
      </c>
      <c r="I15" s="8" t="str">
        <f>G4</f>
        <v>Broj pogrešno izdanih ili ispravljenih certifikata smanjuje se za približno 60 % jer automatizirani sustav uklanja ručni unos podataka i generira certifikat na temelju prethodno validirane dokumentacije.</v>
      </c>
      <c r="J15" s="8">
        <f>AVERAGE(H11:J11)</f>
        <v>0.38730158730158726</v>
      </c>
      <c r="N15" s="8" t="str">
        <f>L4</f>
        <v>Broj pogrešno izdanih ili ispravljenih certifikata smanjuje se za približno 60 % jer automatizirani sustav uklanja ručni unos podataka i generira certifikat na temelju prethodno validirane dokumentacije.</v>
      </c>
      <c r="O15" s="8">
        <f>AVERAGE(M11:O11)</f>
        <v>0.55592691622103396</v>
      </c>
      <c r="S15" s="8" t="str">
        <f>Q4</f>
        <v>Broj pogrešno izdanih ili ispravljenih certifikata smanjuje se za približno 60 % jer automatizirani sustav uklanja ručni unos podataka i generira certifikat na temelju prethodno validirane dokumentacije.</v>
      </c>
      <c r="T15" s="11">
        <f>AVERAGE(R11:T11)</f>
        <v>0.37050756055286743</v>
      </c>
    </row>
    <row r="16" spans="2:20" x14ac:dyDescent="0.2">
      <c r="D16" s="8" t="str">
        <f t="shared" ref="D16:D17" si="13">B5</f>
        <v>Broj ponovljenih kontrola zbog nepotpunih ili nejasnih nalaza smanjuje se za približno 40 %, jer su svi koraci digitalno zabilježeni.</v>
      </c>
      <c r="E16" s="8">
        <f t="shared" ref="E16:E17" si="14">AVERAGE(C12:E12)</f>
        <v>0.49047619047619051</v>
      </c>
      <c r="I16" s="8" t="str">
        <f t="shared" ref="I16:I17" si="15">G5</f>
        <v>Broj ponovljenih kontrola zbog nepotpunih ili nejasnih nalaza smanjuje se za približno 40 %, jer su svi koraci digitalno zabilježeni.</v>
      </c>
      <c r="J16" s="8">
        <f t="shared" ref="J16:J17" si="16">AVERAGE(H12:J12)</f>
        <v>0.44285714285714284</v>
      </c>
      <c r="N16" s="8" t="str">
        <f t="shared" ref="N16:N17" si="17">L5</f>
        <v>Broj ponovljenih kontrola zbog nepotpunih ili nejasnih nalaza smanjuje se za približno 40 %, jer su svi koraci digitalno zabilježeni.</v>
      </c>
      <c r="O16" s="8">
        <f t="shared" ref="O16:O17" si="18">AVERAGE(M12:O12)</f>
        <v>0.35372103386809273</v>
      </c>
      <c r="S16" s="8" t="str">
        <f t="shared" ref="S16:S17" si="19">Q5</f>
        <v>Broj ponovljenih kontrola zbog nepotpunih ili nejasnih nalaza smanjuje se za približno 40 %, jer su svi koraci digitalno zabilježeni.</v>
      </c>
      <c r="T16" s="11">
        <f t="shared" ref="T16:T17" si="20">AVERAGE(R12:T12)</f>
        <v>0.4505721121704232</v>
      </c>
    </row>
    <row r="17" spans="2:20" x14ac:dyDescent="0.2">
      <c r="D17" s="8" t="str">
        <f t="shared" si="13"/>
        <v>Standardizirani digitalni tijek rada smanjuje organizacijske pogreške tijekom pripreme i provedbe aktivnosti za 30–40 %.</v>
      </c>
      <c r="E17" s="8">
        <f t="shared" si="14"/>
        <v>0.31190476190476191</v>
      </c>
      <c r="I17" s="8" t="str">
        <f t="shared" si="15"/>
        <v>Standardizirani digitalni tijek rada smanjuje organizacijske pogreške tijekom pripreme i provedbe aktivnosti za 30–40 %.</v>
      </c>
      <c r="J17" s="8">
        <f t="shared" si="16"/>
        <v>0.16984126984126982</v>
      </c>
      <c r="N17" s="8" t="str">
        <f t="shared" si="17"/>
        <v>Standardizirani digitalni tijek rada smanjuje organizacijske pogreške tijekom pripreme i provedbe aktivnosti za 30–40 %.</v>
      </c>
      <c r="O17" s="8">
        <f t="shared" si="18"/>
        <v>9.0352049910873464E-2</v>
      </c>
      <c r="S17" s="8" t="str">
        <f t="shared" si="19"/>
        <v>Standardizirani digitalni tijek rada smanjuje organizacijske pogreške tijekom pripreme i provedbe aktivnosti za 30–40 %.</v>
      </c>
      <c r="T17" s="11">
        <f t="shared" si="20"/>
        <v>0.17892032727670948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0.19761904761904761</v>
      </c>
      <c r="D21" s="8">
        <f>D4*E$16</f>
        <v>0.24523809523809526</v>
      </c>
      <c r="E21" s="8">
        <f>E4*E$17</f>
        <v>0.15595238095238095</v>
      </c>
      <c r="H21" s="8">
        <f>H4*J$15</f>
        <v>0.38730158730158726</v>
      </c>
      <c r="I21" s="8">
        <f>I4*J$16</f>
        <v>0.44285714285714284</v>
      </c>
      <c r="J21" s="8">
        <f>J4*J$17</f>
        <v>0.33968253968253964</v>
      </c>
      <c r="M21" s="8">
        <f>M4*O$15</f>
        <v>0.55592691622103396</v>
      </c>
      <c r="N21" s="8">
        <f>N4*O$16</f>
        <v>0.70744206773618545</v>
      </c>
      <c r="O21" s="8">
        <f>O4*O$17</f>
        <v>0.45176024955436733</v>
      </c>
      <c r="R21" s="8">
        <f>R4*T$15</f>
        <v>0.37050756055286743</v>
      </c>
      <c r="S21" s="8">
        <f>S4*T$16</f>
        <v>0.4505721121704232</v>
      </c>
      <c r="T21" s="8">
        <f>T4*T$17</f>
        <v>0.3059494560146957</v>
      </c>
    </row>
    <row r="22" spans="2:20" hidden="1" x14ac:dyDescent="0.2">
      <c r="C22" s="8">
        <f t="shared" ref="C22:C23" si="21">C5*E$15</f>
        <v>0.39523809523809522</v>
      </c>
      <c r="D22" s="8">
        <f t="shared" ref="D22:D23" si="22">D5*E$16</f>
        <v>0.49047619047619051</v>
      </c>
      <c r="E22" s="8">
        <f t="shared" ref="E22:E23" si="23">E5*E$17</f>
        <v>0.62380952380952381</v>
      </c>
      <c r="H22" s="8">
        <f t="shared" ref="H22:H23" si="24">H5*J$15</f>
        <v>0.38730158730158726</v>
      </c>
      <c r="I22" s="8">
        <f t="shared" ref="I22:I23" si="25">I5*J$16</f>
        <v>0.44285714285714284</v>
      </c>
      <c r="J22" s="8">
        <f t="shared" ref="J22:J23" si="26">J5*J$17</f>
        <v>0.50952380952380949</v>
      </c>
      <c r="M22" s="8">
        <f t="shared" ref="M22:M23" si="27">M5*O$15</f>
        <v>0.27796345811051698</v>
      </c>
      <c r="N22" s="8">
        <f t="shared" ref="N22:N23" si="28">N5*O$16</f>
        <v>0.35372103386809273</v>
      </c>
      <c r="O22" s="8">
        <f t="shared" ref="O22:O23" si="29">O5*O$17</f>
        <v>0.45176024955436733</v>
      </c>
      <c r="R22" s="8">
        <f t="shared" ref="R22:R23" si="30">R5*T$15</f>
        <v>0.37050756055286743</v>
      </c>
      <c r="S22" s="8">
        <f t="shared" ref="S22:S23" si="31">S5*T$16</f>
        <v>0.4505721121704232</v>
      </c>
      <c r="T22" s="8">
        <f t="shared" ref="T22:T23" si="32">T5*T$17</f>
        <v>0.55594705689009449</v>
      </c>
    </row>
    <row r="23" spans="2:20" hidden="1" x14ac:dyDescent="0.2">
      <c r="C23" s="8">
        <f t="shared" si="21"/>
        <v>0.39523809523809522</v>
      </c>
      <c r="D23" s="8">
        <f t="shared" si="22"/>
        <v>0.24523809523809526</v>
      </c>
      <c r="E23" s="8">
        <f t="shared" si="23"/>
        <v>0.31190476190476191</v>
      </c>
      <c r="H23" s="8">
        <f t="shared" si="24"/>
        <v>0.19365079365079363</v>
      </c>
      <c r="I23" s="8">
        <f t="shared" si="25"/>
        <v>0.14761904761904759</v>
      </c>
      <c r="J23" s="8">
        <f t="shared" si="26"/>
        <v>0.16984126984126982</v>
      </c>
      <c r="M23" s="8">
        <f t="shared" si="27"/>
        <v>0.11118538324420679</v>
      </c>
      <c r="N23" s="8">
        <f t="shared" si="28"/>
        <v>7.0744206773618548E-2</v>
      </c>
      <c r="O23" s="8">
        <f t="shared" si="29"/>
        <v>9.0352049910873464E-2</v>
      </c>
      <c r="R23" s="8">
        <f t="shared" si="30"/>
        <v>0.2166741358397124</v>
      </c>
      <c r="S23" s="8">
        <f t="shared" si="31"/>
        <v>0.14500753043329356</v>
      </c>
      <c r="T23" s="8">
        <f t="shared" si="32"/>
        <v>0.17892032727670948</v>
      </c>
    </row>
    <row r="24" spans="2:20" hidden="1" x14ac:dyDescent="0.2"/>
    <row r="25" spans="2:20" hidden="1" x14ac:dyDescent="0.2">
      <c r="C25" s="8">
        <f>SUM(C21:E21)</f>
        <v>0.59880952380952379</v>
      </c>
      <c r="D25" s="8">
        <f>SUM(C22:E22)</f>
        <v>1.5095238095238095</v>
      </c>
      <c r="E25" s="8">
        <f>SUM(C23:E23)</f>
        <v>0.95238095238095233</v>
      </c>
      <c r="H25" s="8">
        <f>SUM(H21:J21)</f>
        <v>1.1698412698412697</v>
      </c>
      <c r="I25" s="8">
        <f>SUM(H22:J22)</f>
        <v>1.3396825396825396</v>
      </c>
      <c r="J25" s="8">
        <f>SUM(H23:J23)</f>
        <v>0.51111111111111107</v>
      </c>
      <c r="M25" s="8">
        <f>SUM(M21:O21)</f>
        <v>1.7151292335115869</v>
      </c>
      <c r="N25" s="8">
        <f>SUM(M22:O22)</f>
        <v>1.0834447415329771</v>
      </c>
      <c r="O25" s="8">
        <f>SUM(M23:O23)</f>
        <v>0.2722816399286988</v>
      </c>
      <c r="R25" s="8">
        <f>SUM(R21:T21)</f>
        <v>1.1270291287379863</v>
      </c>
      <c r="S25" s="8">
        <f>SUM(R22:T22)</f>
        <v>1.3770267296133851</v>
      </c>
      <c r="T25" s="8">
        <f>SUM(R23:T23)</f>
        <v>0.5406019935497155</v>
      </c>
    </row>
    <row r="26" spans="2:20" hidden="1" x14ac:dyDescent="0.2"/>
    <row r="27" spans="2:20" hidden="1" x14ac:dyDescent="0.2">
      <c r="C27" s="8">
        <f>E15</f>
        <v>0.19761904761904761</v>
      </c>
      <c r="D27" s="8">
        <f>E16</f>
        <v>0.49047619047619051</v>
      </c>
      <c r="E27" s="8">
        <f>E17</f>
        <v>0.31190476190476191</v>
      </c>
      <c r="H27" s="8">
        <f>J15</f>
        <v>0.38730158730158726</v>
      </c>
      <c r="I27" s="8">
        <f>J16</f>
        <v>0.44285714285714284</v>
      </c>
      <c r="J27" s="8">
        <f>J17</f>
        <v>0.16984126984126982</v>
      </c>
      <c r="M27" s="8">
        <f>O15</f>
        <v>0.55592691622103396</v>
      </c>
      <c r="N27" s="8">
        <f>O16</f>
        <v>0.35372103386809273</v>
      </c>
      <c r="O27" s="8">
        <f>O17</f>
        <v>9.0352049910873464E-2</v>
      </c>
      <c r="R27" s="8">
        <f>T15</f>
        <v>0.37050756055286743</v>
      </c>
      <c r="S27" s="8">
        <f>T16</f>
        <v>0.4505721121704232</v>
      </c>
      <c r="T27" s="8">
        <f>T17</f>
        <v>0.17892032727670948</v>
      </c>
    </row>
    <row r="28" spans="2:20" hidden="1" x14ac:dyDescent="0.2"/>
    <row r="29" spans="2:20" hidden="1" x14ac:dyDescent="0.2">
      <c r="C29" s="8">
        <f>C25/C27</f>
        <v>3.0301204819277108</v>
      </c>
      <c r="D29" s="8">
        <f t="shared" ref="D29:E29" si="33">D25/D27</f>
        <v>3.0776699029126209</v>
      </c>
      <c r="E29" s="8">
        <f t="shared" si="33"/>
        <v>3.0534351145038165</v>
      </c>
      <c r="H29" s="8">
        <f>H25/H27</f>
        <v>3.0204918032786883</v>
      </c>
      <c r="I29" s="8">
        <f t="shared" ref="I29:J29" si="34">I25/I27</f>
        <v>3.0250896057347672</v>
      </c>
      <c r="J29" s="8">
        <f t="shared" si="34"/>
        <v>3.0093457943925235</v>
      </c>
      <c r="M29" s="8">
        <f>M25/M27</f>
        <v>3.0851703406813629</v>
      </c>
      <c r="N29" s="8">
        <f t="shared" ref="N29:O29" si="35">N25/N27</f>
        <v>3.0629921259842523</v>
      </c>
      <c r="O29" s="8">
        <f t="shared" si="35"/>
        <v>3.0135635018495681</v>
      </c>
      <c r="R29" s="8">
        <f>R25/R27</f>
        <v>3.0418519046041745</v>
      </c>
      <c r="S29" s="8">
        <f t="shared" ref="S29:T29" si="36">S25/S27</f>
        <v>3.0561739007329911</v>
      </c>
      <c r="T29" s="8">
        <f t="shared" si="36"/>
        <v>3.0214677212927672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3.0537418331147159</v>
      </c>
      <c r="I31" s="8" t="s">
        <v>20</v>
      </c>
      <c r="J31" s="8">
        <f>AVERAGE(H29:J29)</f>
        <v>3.0183090678019933</v>
      </c>
      <c r="N31" s="8" t="s">
        <v>20</v>
      </c>
      <c r="O31" s="8">
        <f>AVERAGE(M29:O29)</f>
        <v>3.0539086561717279</v>
      </c>
      <c r="S31" s="8" t="s">
        <v>20</v>
      </c>
      <c r="T31" s="8">
        <f>AVERAGE(R29:T29)</f>
        <v>3.0398311755433109</v>
      </c>
    </row>
    <row r="32" spans="2:20" hidden="1" x14ac:dyDescent="0.2">
      <c r="D32" s="8" t="s">
        <v>21</v>
      </c>
      <c r="E32" s="8">
        <f>(E31-3)/2</f>
        <v>2.687091655735796E-2</v>
      </c>
      <c r="I32" s="8" t="s">
        <v>21</v>
      </c>
      <c r="J32" s="8">
        <f>(J31-3)/2</f>
        <v>9.1545339009966309E-3</v>
      </c>
      <c r="N32" s="8" t="s">
        <v>21</v>
      </c>
      <c r="O32" s="8">
        <f>(O31-3)/2</f>
        <v>2.6954328085863954E-2</v>
      </c>
      <c r="S32" s="8" t="s">
        <v>21</v>
      </c>
      <c r="T32" s="8">
        <f>(T31-3)/2</f>
        <v>1.9915587771655474E-2</v>
      </c>
    </row>
    <row r="33" spans="4:20" x14ac:dyDescent="0.2">
      <c r="D33" s="8" t="s">
        <v>22</v>
      </c>
      <c r="E33" s="8">
        <f>E32/0.52</f>
        <v>5.1674839533380694E-2</v>
      </c>
      <c r="I33" s="8" t="s">
        <v>22</v>
      </c>
      <c r="J33" s="8">
        <f>J32/0.52</f>
        <v>1.760487288653198E-2</v>
      </c>
      <c r="N33" s="8" t="s">
        <v>22</v>
      </c>
      <c r="O33" s="8">
        <f>O32/0.52</f>
        <v>5.1835246318969144E-2</v>
      </c>
      <c r="S33" s="8" t="s">
        <v>22</v>
      </c>
      <c r="T33" s="8">
        <f>T32/0.52</f>
        <v>3.8299207253183601E-2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4DFC-3699-DC47-8963-1F40245B8260}">
  <dimension ref="B3:T33"/>
  <sheetViews>
    <sheetView workbookViewId="0">
      <selection activeCell="J20" sqref="J20"/>
    </sheetView>
  </sheetViews>
  <sheetFormatPr baseColWidth="10" defaultColWidth="8.83203125" defaultRowHeight="15" x14ac:dyDescent="0.2"/>
  <cols>
    <col min="2" max="2" width="22.1640625" customWidth="1"/>
    <col min="3" max="3" width="21.83203125" customWidth="1"/>
    <col min="4" max="4" width="23.83203125" customWidth="1"/>
    <col min="5" max="5" width="20.5" customWidth="1"/>
    <col min="7" max="7" width="21.1640625" customWidth="1"/>
    <col min="8" max="8" width="19.33203125" customWidth="1"/>
    <col min="9" max="9" width="20.1640625" customWidth="1"/>
    <col min="10" max="10" width="16.83203125" customWidth="1"/>
    <col min="12" max="12" width="21.83203125" customWidth="1"/>
    <col min="13" max="13" width="22.1640625" customWidth="1"/>
    <col min="14" max="14" width="19" customWidth="1"/>
    <col min="15" max="15" width="21.5" customWidth="1"/>
    <col min="17" max="17" width="22.1640625" customWidth="1"/>
    <col min="18" max="18" width="18.33203125" customWidth="1"/>
    <col min="19" max="19" width="18" customWidth="1"/>
    <col min="20" max="20" width="17.1640625" customWidth="1"/>
  </cols>
  <sheetData>
    <row r="3" spans="2:20" ht="100.75" customHeight="1" x14ac:dyDescent="0.2">
      <c r="B3" s="8"/>
      <c r="C3" s="13" t="s">
        <v>199</v>
      </c>
      <c r="D3" s="13" t="s">
        <v>200</v>
      </c>
      <c r="E3" s="13" t="s">
        <v>201</v>
      </c>
      <c r="G3" s="8"/>
      <c r="H3" s="13" t="str">
        <f>G4</f>
        <v>Automatska validacija podataka smanjuje pogrešne unose s procijenjenih 15 % na manje od 5 %.</v>
      </c>
      <c r="I3" s="13" t="str">
        <f>G5</f>
        <v>Korištenjem video zapisa i digitalnih dokaza omogućena je naknadna provjera u 100 % slučajeva, čime se povećava pouzdanost procjene.</v>
      </c>
      <c r="J3" s="13" t="str">
        <f>G6</f>
        <v>Korištenjem standardiziranih digitalnih obrazaca smanjuje se broj nepotpunih ili pogrešnih zahtjeva klijenata za oko 50 %.</v>
      </c>
      <c r="L3" s="8"/>
      <c r="M3" s="13" t="str">
        <f>L4</f>
        <v>Automatska validacija podataka smanjuje pogrešne unose s procijenjenih 15 % na manje od 5 %.</v>
      </c>
      <c r="N3" s="13" t="str">
        <f>L5</f>
        <v>Korištenjem video zapisa i digitalnih dokaza omogućena je naknadna provjera u 100 % slučajeva, čime se povećava pouzdanost procjene.</v>
      </c>
      <c r="O3" s="13" t="str">
        <f>L6</f>
        <v>Korištenjem standardiziranih digitalnih obrazaca smanjuje se broj nepotpunih ili pogrešnih zahtjeva klijenata za oko 50 %.</v>
      </c>
      <c r="Q3" s="8"/>
      <c r="R3" s="13" t="str">
        <f>Q4</f>
        <v>Automatska validacija podataka smanjuje pogrešne unose s procijenjenih 15 % na manje od 5 %.</v>
      </c>
      <c r="S3" s="13" t="str">
        <f>Q5</f>
        <v>Korištenjem video zapisa i digitalnih dokaza omogućena je naknadna provjera u 100 % slučajeva, čime se povećava pouzdanost procjene.</v>
      </c>
      <c r="T3" s="13" t="str">
        <f>Q6</f>
        <v>Korištenjem standardiziranih digitalnih obrazaca smanjuje se broj nepotpunih ili pogrešnih zahtjeva klijenata za oko 50 %.</v>
      </c>
    </row>
    <row r="4" spans="2:20" ht="121.25" customHeight="1" x14ac:dyDescent="0.2">
      <c r="B4" s="12" t="s">
        <v>199</v>
      </c>
      <c r="C4" s="8">
        <v>1</v>
      </c>
      <c r="D4" s="8">
        <v>1</v>
      </c>
      <c r="E4" s="8">
        <v>2</v>
      </c>
      <c r="G4" s="13" t="str">
        <f>B4</f>
        <v>Automatska validacija podataka smanjuje pogrešne unose s procijenjenih 15 % na manje od 5 %.</v>
      </c>
      <c r="H4" s="8">
        <v>1</v>
      </c>
      <c r="I4" s="8">
        <v>3</v>
      </c>
      <c r="J4" s="8">
        <v>4</v>
      </c>
      <c r="L4" s="13" t="str">
        <f>G4</f>
        <v>Automatska validacija podataka smanjuje pogrešne unose s procijenjenih 15 % na manje od 5 %.</v>
      </c>
      <c r="M4" s="8">
        <v>1</v>
      </c>
      <c r="N4" s="8">
        <v>2</v>
      </c>
      <c r="O4" s="8">
        <v>3</v>
      </c>
      <c r="Q4" s="13" t="str">
        <f>L4</f>
        <v>Automatska validacija podataka smanjuje pogrešne unose s procijenjenih 15 % na manje od 5 %.</v>
      </c>
      <c r="R4" s="8">
        <f>GEOMEAN(C4,H4,M4)</f>
        <v>1</v>
      </c>
      <c r="S4" s="8">
        <f t="shared" ref="S4:T6" si="0">GEOMEAN(D4,I4,N4)</f>
        <v>1.8171205928321397</v>
      </c>
      <c r="T4" s="8">
        <f t="shared" si="0"/>
        <v>2.8844991406148166</v>
      </c>
    </row>
    <row r="5" spans="2:20" ht="109.25" customHeight="1" x14ac:dyDescent="0.2">
      <c r="B5" s="12" t="s">
        <v>200</v>
      </c>
      <c r="C5" s="8">
        <v>1</v>
      </c>
      <c r="D5" s="8">
        <v>1</v>
      </c>
      <c r="E5" s="8">
        <v>3</v>
      </c>
      <c r="G5" s="13" t="str">
        <f t="shared" ref="G5:G6" si="1">B5</f>
        <v>Korištenjem video zapisa i digitalnih dokaza omogućena je naknadna provjera u 100 % slučajeva, čime se povećava pouzdanost procjene.</v>
      </c>
      <c r="H5" s="8">
        <f>1/3</f>
        <v>0.33333333333333331</v>
      </c>
      <c r="I5" s="8">
        <v>1</v>
      </c>
      <c r="J5" s="8">
        <v>2</v>
      </c>
      <c r="L5" s="13" t="str">
        <f t="shared" ref="L5:L6" si="2">G5</f>
        <v>Korištenjem video zapisa i digitalnih dokaza omogućena je naknadna provjera u 100 % slučajeva, čime se povećava pouzdanost procjene.</v>
      </c>
      <c r="M5" s="8">
        <f>1/2</f>
        <v>0.5</v>
      </c>
      <c r="N5" s="8">
        <v>1</v>
      </c>
      <c r="O5" s="8">
        <v>3</v>
      </c>
      <c r="Q5" s="13" t="str">
        <f t="shared" ref="Q5:Q6" si="3">L5</f>
        <v>Korištenjem video zapisa i digitalnih dokaza omogućena je naknadna provjera u 100 % slučajeva, čime se povećava pouzdanost procjene.</v>
      </c>
      <c r="R5" s="8">
        <f t="shared" ref="R5:R6" si="4">GEOMEAN(C5,H5,M5)</f>
        <v>0.55032120814910446</v>
      </c>
      <c r="S5" s="8">
        <f t="shared" si="0"/>
        <v>1</v>
      </c>
      <c r="T5" s="8">
        <f t="shared" si="0"/>
        <v>2.6207413942088964</v>
      </c>
    </row>
    <row r="6" spans="2:20" ht="97.25" customHeight="1" x14ac:dyDescent="0.2">
      <c r="B6" s="12" t="s">
        <v>201</v>
      </c>
      <c r="C6" s="8">
        <f>1/2</f>
        <v>0.5</v>
      </c>
      <c r="D6" s="8">
        <f>1/3</f>
        <v>0.33333333333333331</v>
      </c>
      <c r="E6" s="8">
        <v>1</v>
      </c>
      <c r="G6" s="13" t="str">
        <f t="shared" si="1"/>
        <v>Korištenjem standardiziranih digitalnih obrazaca smanjuje se broj nepotpunih ili pogrešnih zahtjeva klijenata za oko 50 %.</v>
      </c>
      <c r="H6" s="8">
        <f>1/4</f>
        <v>0.25</v>
      </c>
      <c r="I6" s="8">
        <f>1/2</f>
        <v>0.5</v>
      </c>
      <c r="J6" s="8">
        <v>1</v>
      </c>
      <c r="L6" s="13" t="str">
        <f t="shared" si="2"/>
        <v>Korištenjem standardiziranih digitalnih obrazaca smanjuje se broj nepotpunih ili pogrešnih zahtjeva klijenata za oko 50 %.</v>
      </c>
      <c r="M6" s="8">
        <f>1/3</f>
        <v>0.33333333333333331</v>
      </c>
      <c r="N6" s="8">
        <f>1/3</f>
        <v>0.33333333333333331</v>
      </c>
      <c r="O6" s="8">
        <v>1</v>
      </c>
      <c r="Q6" s="13" t="str">
        <f t="shared" si="3"/>
        <v>Korištenjem standardiziranih digitalnih obrazaca smanjuje se broj nepotpunih ili pogrešnih zahtjeva klijenata za oko 50 %.</v>
      </c>
      <c r="R6" s="8">
        <f t="shared" si="4"/>
        <v>0.34668063717531733</v>
      </c>
      <c r="S6" s="8">
        <f t="shared" si="0"/>
        <v>0.38157141418444396</v>
      </c>
      <c r="T6" s="8">
        <f t="shared" si="0"/>
        <v>1</v>
      </c>
    </row>
    <row r="8" spans="2:20" hidden="1" x14ac:dyDescent="0.2">
      <c r="C8" s="8">
        <f>SUM(C4:C6)</f>
        <v>2.5</v>
      </c>
      <c r="D8" s="8">
        <f t="shared" ref="D8:E8" si="5">SUM(D4:D6)</f>
        <v>2.3333333333333335</v>
      </c>
      <c r="E8" s="8">
        <f t="shared" si="5"/>
        <v>6</v>
      </c>
      <c r="H8" s="8">
        <f>SUM(H4:H6)</f>
        <v>1.5833333333333333</v>
      </c>
      <c r="I8" s="8">
        <f t="shared" ref="I8:J8" si="6">SUM(I4:I6)</f>
        <v>4.5</v>
      </c>
      <c r="J8" s="8">
        <f t="shared" si="6"/>
        <v>7</v>
      </c>
      <c r="M8" s="8">
        <f>SUM(M4:M6)</f>
        <v>1.8333333333333333</v>
      </c>
      <c r="N8" s="8">
        <f t="shared" ref="N8:O8" si="7">SUM(N4:N6)</f>
        <v>3.3333333333333335</v>
      </c>
      <c r="O8" s="8">
        <f t="shared" si="7"/>
        <v>7</v>
      </c>
      <c r="R8" s="8">
        <f>SUM(R4:R6)</f>
        <v>1.8970018453244217</v>
      </c>
      <c r="S8" s="8">
        <f t="shared" ref="S8:T8" si="8">SUM(S4:S6)</f>
        <v>3.1986920070165841</v>
      </c>
      <c r="T8" s="8">
        <f t="shared" si="8"/>
        <v>6.505240534823713</v>
      </c>
    </row>
    <row r="9" spans="2:20" hidden="1" x14ac:dyDescent="0.2"/>
    <row r="10" spans="2:20" hidden="1" x14ac:dyDescent="0.2"/>
    <row r="11" spans="2:20" hidden="1" x14ac:dyDescent="0.2">
      <c r="C11" s="8">
        <f>C4/C$8</f>
        <v>0.4</v>
      </c>
      <c r="D11" s="8">
        <f>D4/D$8</f>
        <v>0.42857142857142855</v>
      </c>
      <c r="E11" s="8">
        <f>E4/E$8</f>
        <v>0.33333333333333331</v>
      </c>
      <c r="H11" s="8">
        <f>H4/H$8</f>
        <v>0.63157894736842113</v>
      </c>
      <c r="I11" s="8">
        <f>I4/I$8</f>
        <v>0.66666666666666663</v>
      </c>
      <c r="J11" s="8">
        <f>J4/J$8</f>
        <v>0.5714285714285714</v>
      </c>
      <c r="M11" s="8">
        <f>M4/M$8</f>
        <v>0.54545454545454553</v>
      </c>
      <c r="N11" s="8">
        <f>N4/N$8</f>
        <v>0.6</v>
      </c>
      <c r="O11" s="8">
        <f>O4/O$8</f>
        <v>0.42857142857142855</v>
      </c>
      <c r="R11" s="8">
        <f>R4/R$8</f>
        <v>0.52714761583638936</v>
      </c>
      <c r="S11" s="8">
        <f>S4/S$8</f>
        <v>0.56808238769038777</v>
      </c>
      <c r="T11" s="8">
        <f>T4/T$8</f>
        <v>0.44341160410188957</v>
      </c>
    </row>
    <row r="12" spans="2:20" hidden="1" x14ac:dyDescent="0.2">
      <c r="C12" s="8">
        <f t="shared" ref="C12:E13" si="9">C5/C$8</f>
        <v>0.4</v>
      </c>
      <c r="D12" s="8">
        <f t="shared" si="9"/>
        <v>0.42857142857142855</v>
      </c>
      <c r="E12" s="8">
        <f t="shared" si="9"/>
        <v>0.5</v>
      </c>
      <c r="H12" s="8">
        <f t="shared" ref="H12:J13" si="10">H5/H$8</f>
        <v>0.21052631578947367</v>
      </c>
      <c r="I12" s="8">
        <f t="shared" si="10"/>
        <v>0.22222222222222221</v>
      </c>
      <c r="J12" s="8">
        <f t="shared" si="10"/>
        <v>0.2857142857142857</v>
      </c>
      <c r="M12" s="8">
        <f t="shared" ref="M12:O13" si="11">M5/M$8</f>
        <v>0.27272727272727276</v>
      </c>
      <c r="N12" s="8">
        <f t="shared" si="11"/>
        <v>0.3</v>
      </c>
      <c r="O12" s="8">
        <f t="shared" si="11"/>
        <v>0.42857142857142855</v>
      </c>
      <c r="R12" s="8">
        <f t="shared" ref="R12:T13" si="12">R5/R$8</f>
        <v>0.29010051282000177</v>
      </c>
      <c r="S12" s="8">
        <f t="shared" si="12"/>
        <v>0.31262778592200213</v>
      </c>
      <c r="T12" s="8">
        <f t="shared" si="12"/>
        <v>0.40286617845713779</v>
      </c>
    </row>
    <row r="13" spans="2:20" hidden="1" x14ac:dyDescent="0.2">
      <c r="C13" s="8">
        <f t="shared" si="9"/>
        <v>0.2</v>
      </c>
      <c r="D13" s="8">
        <f t="shared" si="9"/>
        <v>0.14285714285714285</v>
      </c>
      <c r="E13" s="8">
        <f t="shared" si="9"/>
        <v>0.16666666666666666</v>
      </c>
      <c r="H13" s="8">
        <f t="shared" si="10"/>
        <v>0.15789473684210528</v>
      </c>
      <c r="I13" s="8">
        <f t="shared" si="10"/>
        <v>0.1111111111111111</v>
      </c>
      <c r="J13" s="8">
        <f t="shared" si="10"/>
        <v>0.14285714285714285</v>
      </c>
      <c r="M13" s="8">
        <f t="shared" si="11"/>
        <v>0.18181818181818182</v>
      </c>
      <c r="N13" s="8">
        <f t="shared" si="11"/>
        <v>9.9999999999999992E-2</v>
      </c>
      <c r="O13" s="8">
        <f t="shared" si="11"/>
        <v>0.14285714285714285</v>
      </c>
      <c r="R13" s="8">
        <f t="shared" si="12"/>
        <v>0.18275187134360887</v>
      </c>
      <c r="S13" s="8">
        <f t="shared" si="12"/>
        <v>0.11928982638760996</v>
      </c>
      <c r="T13" s="8">
        <f t="shared" si="12"/>
        <v>0.15372221744097264</v>
      </c>
    </row>
    <row r="14" spans="2:20" hidden="1" x14ac:dyDescent="0.2"/>
    <row r="15" spans="2:20" x14ac:dyDescent="0.2">
      <c r="D15" s="8" t="str">
        <f>B4</f>
        <v>Automatska validacija podataka smanjuje pogrešne unose s procijenjenih 15 % na manje od 5 %.</v>
      </c>
      <c r="E15" s="8">
        <f>AVERAGE(C11:E11)</f>
        <v>0.38730158730158726</v>
      </c>
      <c r="I15" s="8" t="str">
        <f>G4</f>
        <v>Automatska validacija podataka smanjuje pogrešne unose s procijenjenih 15 % na manje od 5 %.</v>
      </c>
      <c r="J15" s="8">
        <f>AVERAGE(H11:J11)</f>
        <v>0.62322472848788635</v>
      </c>
      <c r="N15" s="8" t="str">
        <f>L4</f>
        <v>Automatska validacija podataka smanjuje pogrešne unose s procijenjenih 15 % na manje od 5 %.</v>
      </c>
      <c r="O15" s="8">
        <f>AVERAGE(M11:O11)</f>
        <v>0.52467532467532474</v>
      </c>
      <c r="S15" s="8" t="str">
        <f>Q4</f>
        <v>Automatska validacija podataka smanjuje pogrešne unose s procijenjenih 15 % na manje od 5 %.</v>
      </c>
      <c r="T15" s="11">
        <f>AVERAGE(R11:T11)</f>
        <v>0.51288053587622218</v>
      </c>
    </row>
    <row r="16" spans="2:20" x14ac:dyDescent="0.2">
      <c r="D16" s="8" t="str">
        <f t="shared" ref="D16:D17" si="13">B5</f>
        <v>Korištenjem video zapisa i digitalnih dokaza omogućena je naknadna provjera u 100 % slučajeva, čime se povećava pouzdanost procjene.</v>
      </c>
      <c r="E16" s="8">
        <f t="shared" ref="E16:E17" si="14">AVERAGE(C12:E12)</f>
        <v>0.44285714285714284</v>
      </c>
      <c r="I16" s="8" t="str">
        <f t="shared" ref="I16:I17" si="15">G5</f>
        <v>Korištenjem video zapisa i digitalnih dokaza omogućena je naknadna provjera u 100 % slučajeva, čime se povećava pouzdanost procjene.</v>
      </c>
      <c r="J16" s="8">
        <f t="shared" ref="J16:J17" si="16">AVERAGE(H12:J12)</f>
        <v>0.23948760790866053</v>
      </c>
      <c r="N16" s="8" t="str">
        <f t="shared" ref="N16:N17" si="17">L5</f>
        <v>Korištenjem video zapisa i digitalnih dokaza omogućena je naknadna provjera u 100 % slučajeva, čime se povećava pouzdanost procjene.</v>
      </c>
      <c r="O16" s="8">
        <f t="shared" ref="O16:O17" si="18">AVERAGE(M12:O12)</f>
        <v>0.33376623376623377</v>
      </c>
      <c r="S16" s="8" t="str">
        <f t="shared" ref="S16:S17" si="19">Q5</f>
        <v>Korištenjem video zapisa i digitalnih dokaza omogućena je naknadna provjera u 100 % slučajeva, čime se povećava pouzdanost procjene.</v>
      </c>
      <c r="T16" s="11">
        <f t="shared" ref="T16:T17" si="20">AVERAGE(R12:T12)</f>
        <v>0.33519815906638062</v>
      </c>
    </row>
    <row r="17" spans="2:20" x14ac:dyDescent="0.2">
      <c r="D17" s="8" t="str">
        <f t="shared" si="13"/>
        <v>Korištenjem standardiziranih digitalnih obrazaca smanjuje se broj nepotpunih ili pogrešnih zahtjeva klijenata za oko 50 %.</v>
      </c>
      <c r="E17" s="8">
        <f t="shared" si="14"/>
        <v>0.16984126984126982</v>
      </c>
      <c r="I17" s="8" t="str">
        <f t="shared" si="15"/>
        <v>Korištenjem standardiziranih digitalnih obrazaca smanjuje se broj nepotpunih ili pogrešnih zahtjeva klijenata za oko 50 %.</v>
      </c>
      <c r="J17" s="8">
        <f t="shared" si="16"/>
        <v>0.13728766360345307</v>
      </c>
      <c r="N17" s="8" t="str">
        <f t="shared" si="17"/>
        <v>Korištenjem standardiziranih digitalnih obrazaca smanjuje se broj nepotpunih ili pogrešnih zahtjeva klijenata za oko 50 %.</v>
      </c>
      <c r="O17" s="8">
        <f t="shared" si="18"/>
        <v>0.14155844155844155</v>
      </c>
      <c r="S17" s="8" t="str">
        <f t="shared" si="19"/>
        <v>Korištenjem standardiziranih digitalnih obrazaca smanjuje se broj nepotpunih ili pogrešnih zahtjeva klijenata za oko 50 %.</v>
      </c>
      <c r="T17" s="11">
        <f t="shared" si="20"/>
        <v>0.15192130505739715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0.38730158730158726</v>
      </c>
      <c r="D21" s="8">
        <f>D4*E$16</f>
        <v>0.44285714285714284</v>
      </c>
      <c r="E21" s="8">
        <f>E4*E$17</f>
        <v>0.33968253968253964</v>
      </c>
      <c r="H21" s="8">
        <f>H4*J$15</f>
        <v>0.62322472848788635</v>
      </c>
      <c r="I21" s="8">
        <f>I4*J$16</f>
        <v>0.71846282372598158</v>
      </c>
      <c r="J21" s="8">
        <f>J4*J$17</f>
        <v>0.54915065441381228</v>
      </c>
      <c r="M21" s="8">
        <f>M4*O$15</f>
        <v>0.52467532467532474</v>
      </c>
      <c r="N21" s="8">
        <f>N4*O$16</f>
        <v>0.66753246753246753</v>
      </c>
      <c r="O21" s="8">
        <f>O4*O$17</f>
        <v>0.42467532467532465</v>
      </c>
      <c r="R21" s="8">
        <f>R4*T$15</f>
        <v>0.51288053587622218</v>
      </c>
      <c r="S21" s="8">
        <f>S4*T$16</f>
        <v>0.60909547751894344</v>
      </c>
      <c r="T21" s="8">
        <f>T4*T$17</f>
        <v>0.43821687387914349</v>
      </c>
    </row>
    <row r="22" spans="2:20" hidden="1" x14ac:dyDescent="0.2">
      <c r="C22" s="8">
        <f t="shared" ref="C22:C23" si="21">C5*E$15</f>
        <v>0.38730158730158726</v>
      </c>
      <c r="D22" s="8">
        <f t="shared" ref="D22:D23" si="22">D5*E$16</f>
        <v>0.44285714285714284</v>
      </c>
      <c r="E22" s="8">
        <f t="shared" ref="E22:E23" si="23">E5*E$17</f>
        <v>0.50952380952380949</v>
      </c>
      <c r="H22" s="8">
        <f t="shared" ref="H22:H23" si="24">H5*J$15</f>
        <v>0.20774157616262878</v>
      </c>
      <c r="I22" s="8">
        <f t="shared" ref="I22:I23" si="25">I5*J$16</f>
        <v>0.23948760790866053</v>
      </c>
      <c r="J22" s="8">
        <f t="shared" ref="J22:J23" si="26">J5*J$17</f>
        <v>0.27457532720690614</v>
      </c>
      <c r="M22" s="8">
        <f t="shared" ref="M22:M23" si="27">M5*O$15</f>
        <v>0.26233766233766237</v>
      </c>
      <c r="N22" s="8">
        <f t="shared" ref="N22:N23" si="28">N5*O$16</f>
        <v>0.33376623376623377</v>
      </c>
      <c r="O22" s="8">
        <f t="shared" ref="O22:O23" si="29">O5*O$17</f>
        <v>0.42467532467532465</v>
      </c>
      <c r="R22" s="8">
        <f t="shared" ref="R22:R23" si="30">R5*T$15</f>
        <v>0.2822490361395627</v>
      </c>
      <c r="S22" s="8">
        <f t="shared" ref="S22:S23" si="31">S5*T$16</f>
        <v>0.33519815906638062</v>
      </c>
      <c r="T22" s="8">
        <f t="shared" ref="T22:T23" si="32">T5*T$17</f>
        <v>0.39814645282615807</v>
      </c>
    </row>
    <row r="23" spans="2:20" hidden="1" x14ac:dyDescent="0.2">
      <c r="C23" s="8">
        <f t="shared" si="21"/>
        <v>0.19365079365079363</v>
      </c>
      <c r="D23" s="8">
        <f t="shared" si="22"/>
        <v>0.14761904761904759</v>
      </c>
      <c r="E23" s="8">
        <f t="shared" si="23"/>
        <v>0.16984126984126982</v>
      </c>
      <c r="H23" s="8">
        <f t="shared" si="24"/>
        <v>0.15580618212197159</v>
      </c>
      <c r="I23" s="8">
        <f t="shared" si="25"/>
        <v>0.11974380395433026</v>
      </c>
      <c r="J23" s="8">
        <f t="shared" si="26"/>
        <v>0.13728766360345307</v>
      </c>
      <c r="M23" s="8">
        <f t="shared" si="27"/>
        <v>0.1748917748917749</v>
      </c>
      <c r="N23" s="8">
        <f t="shared" si="28"/>
        <v>0.11125541125541125</v>
      </c>
      <c r="O23" s="8">
        <f t="shared" si="29"/>
        <v>0.14155844155844155</v>
      </c>
      <c r="R23" s="8">
        <f t="shared" si="30"/>
        <v>0.17780575097238691</v>
      </c>
      <c r="S23" s="8">
        <f t="shared" si="31"/>
        <v>0.12790203558698104</v>
      </c>
      <c r="T23" s="8">
        <f t="shared" si="32"/>
        <v>0.15192130505739715</v>
      </c>
    </row>
    <row r="24" spans="2:20" hidden="1" x14ac:dyDescent="0.2"/>
    <row r="25" spans="2:20" hidden="1" x14ac:dyDescent="0.2">
      <c r="C25" s="8">
        <f>SUM(C21:E21)</f>
        <v>1.1698412698412697</v>
      </c>
      <c r="D25" s="8">
        <f>SUM(C22:E22)</f>
        <v>1.3396825396825396</v>
      </c>
      <c r="E25" s="8">
        <f>SUM(C23:E23)</f>
        <v>0.51111111111111107</v>
      </c>
      <c r="H25" s="8">
        <f>SUM(H21:J21)</f>
        <v>1.8908382066276801</v>
      </c>
      <c r="I25" s="8">
        <f>SUM(H22:J22)</f>
        <v>0.72180451127819545</v>
      </c>
      <c r="J25" s="8">
        <f>SUM(H23:J23)</f>
        <v>0.41283764967975495</v>
      </c>
      <c r="M25" s="8">
        <f>SUM(M21:O21)</f>
        <v>1.616883116883117</v>
      </c>
      <c r="N25" s="8">
        <f>SUM(M22:O22)</f>
        <v>1.0207792207792208</v>
      </c>
      <c r="O25" s="8">
        <f>SUM(M23:O23)</f>
        <v>0.4277056277056277</v>
      </c>
      <c r="R25" s="8">
        <f>SUM(R21:T21)</f>
        <v>1.5601928872743089</v>
      </c>
      <c r="S25" s="8">
        <f>SUM(R22:T22)</f>
        <v>1.0155936480321013</v>
      </c>
      <c r="T25" s="8">
        <f>SUM(R23:T23)</f>
        <v>0.45762909161676507</v>
      </c>
    </row>
    <row r="26" spans="2:20" hidden="1" x14ac:dyDescent="0.2"/>
    <row r="27" spans="2:20" hidden="1" x14ac:dyDescent="0.2">
      <c r="C27" s="8">
        <f>E15</f>
        <v>0.38730158730158726</v>
      </c>
      <c r="D27" s="8">
        <f>E16</f>
        <v>0.44285714285714284</v>
      </c>
      <c r="E27" s="8">
        <f>E17</f>
        <v>0.16984126984126982</v>
      </c>
      <c r="H27" s="8">
        <f>J15</f>
        <v>0.62322472848788635</v>
      </c>
      <c r="I27" s="8">
        <f>J16</f>
        <v>0.23948760790866053</v>
      </c>
      <c r="J27" s="8">
        <f>J17</f>
        <v>0.13728766360345307</v>
      </c>
      <c r="M27" s="8">
        <f>O15</f>
        <v>0.52467532467532474</v>
      </c>
      <c r="N27" s="8">
        <f>O16</f>
        <v>0.33376623376623377</v>
      </c>
      <c r="O27" s="8">
        <f>O17</f>
        <v>0.14155844155844155</v>
      </c>
      <c r="R27" s="8">
        <f>T15</f>
        <v>0.51288053587622218</v>
      </c>
      <c r="S27" s="8">
        <f>T16</f>
        <v>0.33519815906638062</v>
      </c>
      <c r="T27" s="8">
        <f>T17</f>
        <v>0.15192130505739715</v>
      </c>
    </row>
    <row r="28" spans="2:20" hidden="1" x14ac:dyDescent="0.2"/>
    <row r="29" spans="2:20" hidden="1" x14ac:dyDescent="0.2">
      <c r="C29" s="8">
        <f>C25/C27</f>
        <v>3.0204918032786883</v>
      </c>
      <c r="D29" s="8">
        <f t="shared" ref="D29:E29" si="33">D25/D27</f>
        <v>3.0250896057347672</v>
      </c>
      <c r="E29" s="8">
        <f t="shared" si="33"/>
        <v>3.0093457943925235</v>
      </c>
      <c r="H29" s="8">
        <f>H25/H27</f>
        <v>3.0339588918677389</v>
      </c>
      <c r="I29" s="8">
        <f t="shared" ref="I29:J29" si="34">I25/I27</f>
        <v>3.0139534883720929</v>
      </c>
      <c r="J29" s="8">
        <f t="shared" si="34"/>
        <v>3.0070993914807302</v>
      </c>
      <c r="M29" s="8">
        <f>M25/M27</f>
        <v>3.0816831683168315</v>
      </c>
      <c r="N29" s="8">
        <f t="shared" ref="N29:O29" si="35">N25/N27</f>
        <v>3.058365758754864</v>
      </c>
      <c r="O29" s="8">
        <f t="shared" si="35"/>
        <v>3.0214067278287464</v>
      </c>
      <c r="R29" s="8">
        <f>R25/R27</f>
        <v>3.0420200770708203</v>
      </c>
      <c r="S29" s="8">
        <f t="shared" ref="S29:T29" si="36">S25/S27</f>
        <v>3.0298306257433212</v>
      </c>
      <c r="T29" s="8">
        <f t="shared" si="36"/>
        <v>3.0122772539629574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3.0183090678019933</v>
      </c>
      <c r="I31" s="8" t="s">
        <v>20</v>
      </c>
      <c r="J31" s="8">
        <f>AVERAGE(H29:J29)</f>
        <v>3.0183372572401872</v>
      </c>
      <c r="N31" s="8" t="s">
        <v>20</v>
      </c>
      <c r="O31" s="8">
        <f>AVERAGE(M29:O29)</f>
        <v>3.0538185516334813</v>
      </c>
      <c r="S31" s="8" t="s">
        <v>20</v>
      </c>
      <c r="T31" s="8">
        <f>AVERAGE(R29:T29)</f>
        <v>3.0280426522590331</v>
      </c>
    </row>
    <row r="32" spans="2:20" hidden="1" x14ac:dyDescent="0.2">
      <c r="D32" s="8" t="s">
        <v>21</v>
      </c>
      <c r="E32" s="8">
        <f>(E31-3)/2</f>
        <v>9.1545339009966309E-3</v>
      </c>
      <c r="I32" s="8" t="s">
        <v>21</v>
      </c>
      <c r="J32" s="8">
        <f>(J31-3)/2</f>
        <v>9.1686286200935996E-3</v>
      </c>
      <c r="N32" s="8" t="s">
        <v>21</v>
      </c>
      <c r="O32" s="8">
        <f>(O31-3)/2</f>
        <v>2.690927581674063E-2</v>
      </c>
      <c r="S32" s="8" t="s">
        <v>21</v>
      </c>
      <c r="T32" s="8">
        <f>(T31-3)/2</f>
        <v>1.4021326129516565E-2</v>
      </c>
    </row>
    <row r="33" spans="4:20" x14ac:dyDescent="0.2">
      <c r="D33" s="8" t="s">
        <v>22</v>
      </c>
      <c r="E33" s="8">
        <f>E32/0.52</f>
        <v>1.760487288653198E-2</v>
      </c>
      <c r="I33" s="8" t="s">
        <v>22</v>
      </c>
      <c r="J33" s="8">
        <f>J32/0.52</f>
        <v>1.7631978115564613E-2</v>
      </c>
      <c r="N33" s="8" t="s">
        <v>22</v>
      </c>
      <c r="O33" s="8">
        <f>O32/0.52</f>
        <v>5.1748607339885823E-2</v>
      </c>
      <c r="S33" s="8" t="s">
        <v>22</v>
      </c>
      <c r="T33" s="8">
        <f>T32/0.52</f>
        <v>2.6964088710608777E-2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460C5-2805-C946-ABAA-7D28464C8548}">
  <dimension ref="B3:T33"/>
  <sheetViews>
    <sheetView topLeftCell="A3" workbookViewId="0">
      <selection activeCell="J20" sqref="J20"/>
    </sheetView>
  </sheetViews>
  <sheetFormatPr baseColWidth="10" defaultColWidth="8.83203125" defaultRowHeight="15" x14ac:dyDescent="0.2"/>
  <cols>
    <col min="2" max="2" width="21" customWidth="1"/>
    <col min="3" max="3" width="21.83203125" customWidth="1"/>
    <col min="4" max="4" width="23.83203125" customWidth="1"/>
    <col min="5" max="5" width="20.5" customWidth="1"/>
    <col min="7" max="7" width="21.1640625" customWidth="1"/>
    <col min="8" max="8" width="19.33203125" customWidth="1"/>
    <col min="9" max="9" width="20.1640625" customWidth="1"/>
    <col min="10" max="10" width="16.83203125" customWidth="1"/>
    <col min="12" max="12" width="21.83203125" customWidth="1"/>
    <col min="13" max="13" width="22.1640625" customWidth="1"/>
    <col min="14" max="14" width="19" customWidth="1"/>
    <col min="15" max="15" width="21.5" customWidth="1"/>
    <col min="17" max="17" width="22.1640625" customWidth="1"/>
    <col min="18" max="18" width="18.33203125" customWidth="1"/>
    <col min="19" max="19" width="18" customWidth="1"/>
    <col min="20" max="20" width="17.1640625" customWidth="1"/>
  </cols>
  <sheetData>
    <row r="3" spans="2:20" ht="100.75" customHeight="1" x14ac:dyDescent="0.2">
      <c r="B3" s="8"/>
      <c r="C3" s="13" t="str">
        <f>B4</f>
        <v>Digitalni postupak skraćuje ukupno vrijeme obrade certifikata s prosječno 3–4 radna dana na manje od 1 radnog dana, bez potrebe za fizičkom dokumentacijom.</v>
      </c>
      <c r="D3" s="13" t="str">
        <f>B5</f>
        <v>Remote kontrola skraćuje trajanje pregleda s prosječno 8 sati na 2–3 sata, što omogućuje provođenje većeg broja kontrola u istom radnom danu.</v>
      </c>
      <c r="E3" s="13" t="str">
        <f>B6</f>
        <v>Automatizirano prikupljanje prijava i potvrda skraćuje vrijeme organizacije s prosječno 5 radnih dana na 1–2 radna dana.</v>
      </c>
      <c r="G3" s="8"/>
      <c r="H3" s="13" t="str">
        <f>G4</f>
        <v>Digitalni postupak skraćuje ukupno vrijeme obrade certifikata s prosječno 3–4 radna dana na manje od 1 radnog dana, bez potrebe za fizičkom dokumentacijom.</v>
      </c>
      <c r="I3" s="13" t="str">
        <f>G5</f>
        <v>Remote kontrola skraćuje trajanje pregleda s prosječno 8 sati na 2–3 sata, što omogućuje provođenje većeg broja kontrola u istom radnom danu.</v>
      </c>
      <c r="J3" s="13" t="str">
        <f>G6</f>
        <v>Automatizirano prikupljanje prijava i potvrda skraćuje vrijeme organizacije s prosječno 5 radnih dana na 1–2 radna dana.</v>
      </c>
      <c r="L3" s="8"/>
      <c r="M3" s="13" t="str">
        <f>L4</f>
        <v>Digitalni postupak skraćuje ukupno vrijeme obrade certifikata s prosječno 3–4 radna dana na manje od 1 radnog dana, bez potrebe za fizičkom dokumentacijom.</v>
      </c>
      <c r="N3" s="13" t="str">
        <f>L5</f>
        <v>Remote kontrola skraćuje trajanje pregleda s prosječno 8 sati na 2–3 sata, što omogućuje provođenje većeg broja kontrola u istom radnom danu.</v>
      </c>
      <c r="O3" s="13" t="str">
        <f>L6</f>
        <v>Automatizirano prikupljanje prijava i potvrda skraćuje vrijeme organizacije s prosječno 5 radnih dana na 1–2 radna dana.</v>
      </c>
      <c r="Q3" s="8"/>
      <c r="R3" s="13" t="str">
        <f>Q4</f>
        <v>Digitalni postupak skraćuje ukupno vrijeme obrade certifikata s prosječno 3–4 radna dana na manje od 1 radnog dana, bez potrebe za fizičkom dokumentacijom.</v>
      </c>
      <c r="S3" s="13" t="str">
        <f>Q5</f>
        <v>Remote kontrola skraćuje trajanje pregleda s prosječno 8 sati na 2–3 sata, što omogućuje provođenje većeg broja kontrola u istom radnom danu.</v>
      </c>
      <c r="T3" s="13" t="str">
        <f>Q6</f>
        <v>Automatizirano prikupljanje prijava i potvrda skraćuje vrijeme organizacije s prosječno 5 radnih dana na 1–2 radna dana.</v>
      </c>
    </row>
    <row r="4" spans="2:20" ht="121.25" customHeight="1" x14ac:dyDescent="0.2">
      <c r="B4" s="12" t="s">
        <v>202</v>
      </c>
      <c r="C4" s="8">
        <v>1</v>
      </c>
      <c r="D4" s="8">
        <v>2</v>
      </c>
      <c r="E4" s="8">
        <v>2</v>
      </c>
      <c r="G4" s="13" t="str">
        <f>B4</f>
        <v>Digitalni postupak skraćuje ukupno vrijeme obrade certifikata s prosječno 3–4 radna dana na manje od 1 radnog dana, bez potrebe za fizičkom dokumentacijom.</v>
      </c>
      <c r="H4" s="8">
        <v>1</v>
      </c>
      <c r="I4" s="8">
        <v>2</v>
      </c>
      <c r="J4" s="8">
        <v>3</v>
      </c>
      <c r="L4" s="13" t="str">
        <f>G4</f>
        <v>Digitalni postupak skraćuje ukupno vrijeme obrade certifikata s prosječno 3–4 radna dana na manje od 1 radnog dana, bez potrebe za fizičkom dokumentacijom.</v>
      </c>
      <c r="M4" s="8">
        <v>1</v>
      </c>
      <c r="N4" s="8">
        <v>3</v>
      </c>
      <c r="O4" s="8">
        <v>4</v>
      </c>
      <c r="Q4" s="13" t="str">
        <f>L4</f>
        <v>Digitalni postupak skraćuje ukupno vrijeme obrade certifikata s prosječno 3–4 radna dana na manje od 1 radnog dana, bez potrebe za fizičkom dokumentacijom.</v>
      </c>
      <c r="R4" s="8">
        <f>GEOMEAN(C4,H4,M4)</f>
        <v>1</v>
      </c>
      <c r="S4" s="8">
        <f t="shared" ref="S4:T6" si="0">GEOMEAN(D4,I4,N4)</f>
        <v>2.2894284851066637</v>
      </c>
      <c r="T4" s="8">
        <f t="shared" si="0"/>
        <v>2.8844991406148166</v>
      </c>
    </row>
    <row r="5" spans="2:20" ht="109.25" customHeight="1" x14ac:dyDescent="0.2">
      <c r="B5" s="12" t="s">
        <v>203</v>
      </c>
      <c r="C5" s="8">
        <f>1/2</f>
        <v>0.5</v>
      </c>
      <c r="D5" s="8">
        <v>1</v>
      </c>
      <c r="E5" s="8">
        <v>1</v>
      </c>
      <c r="G5" s="13" t="str">
        <f t="shared" ref="G5:G6" si="1">B5</f>
        <v>Remote kontrola skraćuje trajanje pregleda s prosječno 8 sati na 2–3 sata, što omogućuje provođenje većeg broja kontrola u istom radnom danu.</v>
      </c>
      <c r="H5" s="8">
        <f>1/2</f>
        <v>0.5</v>
      </c>
      <c r="I5" s="8">
        <v>1</v>
      </c>
      <c r="J5" s="8">
        <v>3</v>
      </c>
      <c r="L5" s="13" t="str">
        <f t="shared" ref="L5:L6" si="2">G5</f>
        <v>Remote kontrola skraćuje trajanje pregleda s prosječno 8 sati na 2–3 sata, što omogućuje provođenje većeg broja kontrola u istom radnom danu.</v>
      </c>
      <c r="M5" s="8">
        <f>1/3</f>
        <v>0.33333333333333331</v>
      </c>
      <c r="N5" s="8">
        <v>1</v>
      </c>
      <c r="O5" s="8">
        <v>3</v>
      </c>
      <c r="Q5" s="13" t="str">
        <f t="shared" ref="Q5:Q6" si="3">L5</f>
        <v>Remote kontrola skraćuje trajanje pregleda s prosječno 8 sati na 2–3 sata, što omogućuje provođenje većeg broja kontrola u istom radnom danu.</v>
      </c>
      <c r="R5" s="8">
        <f t="shared" ref="R5:R6" si="4">GEOMEAN(C5,H5,M5)</f>
        <v>0.43679023236814946</v>
      </c>
      <c r="S5" s="8">
        <f t="shared" si="0"/>
        <v>1</v>
      </c>
      <c r="T5" s="8">
        <f t="shared" si="0"/>
        <v>2.0800838230519041</v>
      </c>
    </row>
    <row r="6" spans="2:20" ht="97.25" customHeight="1" x14ac:dyDescent="0.2">
      <c r="B6" s="12" t="s">
        <v>204</v>
      </c>
      <c r="C6" s="8">
        <f>1/2</f>
        <v>0.5</v>
      </c>
      <c r="D6" s="8">
        <v>1</v>
      </c>
      <c r="E6" s="8">
        <v>1</v>
      </c>
      <c r="G6" s="13" t="str">
        <f t="shared" si="1"/>
        <v>Automatizirano prikupljanje prijava i potvrda skraćuje vrijeme organizacije s prosječno 5 radnih dana na 1–2 radna dana.</v>
      </c>
      <c r="H6" s="8">
        <f>1/3</f>
        <v>0.33333333333333331</v>
      </c>
      <c r="I6" s="8">
        <f>1/3</f>
        <v>0.33333333333333331</v>
      </c>
      <c r="J6" s="8">
        <v>1</v>
      </c>
      <c r="L6" s="13" t="str">
        <f t="shared" si="2"/>
        <v>Automatizirano prikupljanje prijava i potvrda skraćuje vrijeme organizacije s prosječno 5 radnih dana na 1–2 radna dana.</v>
      </c>
      <c r="M6" s="8">
        <f>1/4</f>
        <v>0.25</v>
      </c>
      <c r="N6" s="8">
        <f>1/3</f>
        <v>0.33333333333333331</v>
      </c>
      <c r="O6" s="8">
        <v>1</v>
      </c>
      <c r="Q6" s="13" t="str">
        <f t="shared" si="3"/>
        <v>Automatizirano prikupljanje prijava i potvrda skraćuje vrijeme organizacije s prosječno 5 radnih dana na 1–2 radna dana.</v>
      </c>
      <c r="R6" s="8">
        <f t="shared" si="4"/>
        <v>0.34668063717531733</v>
      </c>
      <c r="S6" s="8">
        <f t="shared" si="0"/>
        <v>0.48074985676913612</v>
      </c>
      <c r="T6" s="8">
        <f t="shared" si="0"/>
        <v>1</v>
      </c>
    </row>
    <row r="8" spans="2:20" hidden="1" x14ac:dyDescent="0.2">
      <c r="C8" s="8">
        <f>SUM(C4:C6)</f>
        <v>2</v>
      </c>
      <c r="D8" s="8">
        <f t="shared" ref="D8:E8" si="5">SUM(D4:D6)</f>
        <v>4</v>
      </c>
      <c r="E8" s="8">
        <f t="shared" si="5"/>
        <v>4</v>
      </c>
      <c r="H8" s="8">
        <f>SUM(H4:H6)</f>
        <v>1.8333333333333333</v>
      </c>
      <c r="I8" s="8">
        <f t="shared" ref="I8:J8" si="6">SUM(I4:I6)</f>
        <v>3.3333333333333335</v>
      </c>
      <c r="J8" s="8">
        <f t="shared" si="6"/>
        <v>7</v>
      </c>
      <c r="M8" s="8">
        <f>SUM(M4:M6)</f>
        <v>1.5833333333333333</v>
      </c>
      <c r="N8" s="8">
        <f t="shared" ref="N8:O8" si="7">SUM(N4:N6)</f>
        <v>4.333333333333333</v>
      </c>
      <c r="O8" s="8">
        <f t="shared" si="7"/>
        <v>8</v>
      </c>
      <c r="R8" s="8">
        <f>SUM(R4:R6)</f>
        <v>1.7834708695434667</v>
      </c>
      <c r="S8" s="8">
        <f t="shared" ref="S8:T8" si="8">SUM(S4:S6)</f>
        <v>3.7701783418757997</v>
      </c>
      <c r="T8" s="8">
        <f t="shared" si="8"/>
        <v>5.9645829636667207</v>
      </c>
    </row>
    <row r="9" spans="2:20" hidden="1" x14ac:dyDescent="0.2"/>
    <row r="10" spans="2:20" hidden="1" x14ac:dyDescent="0.2"/>
    <row r="11" spans="2:20" hidden="1" x14ac:dyDescent="0.2">
      <c r="C11" s="8">
        <f>C4/C$8</f>
        <v>0.5</v>
      </c>
      <c r="D11" s="8">
        <f>D4/D$8</f>
        <v>0.5</v>
      </c>
      <c r="E11" s="8">
        <f>E4/E$8</f>
        <v>0.5</v>
      </c>
      <c r="H11" s="8">
        <f>H4/H$8</f>
        <v>0.54545454545454553</v>
      </c>
      <c r="I11" s="8">
        <f>I4/I$8</f>
        <v>0.6</v>
      </c>
      <c r="J11" s="8">
        <f>J4/J$8</f>
        <v>0.42857142857142855</v>
      </c>
      <c r="M11" s="8">
        <f>M4/M$8</f>
        <v>0.63157894736842113</v>
      </c>
      <c r="N11" s="8">
        <f>N4/N$8</f>
        <v>0.6923076923076924</v>
      </c>
      <c r="O11" s="8">
        <f>O4/O$8</f>
        <v>0.5</v>
      </c>
      <c r="R11" s="8">
        <f>R4/R$8</f>
        <v>0.56070442028356782</v>
      </c>
      <c r="S11" s="8">
        <f>S4/S$8</f>
        <v>0.6072467341074349</v>
      </c>
      <c r="T11" s="8">
        <f>T4/T$8</f>
        <v>0.48360449643935777</v>
      </c>
    </row>
    <row r="12" spans="2:20" hidden="1" x14ac:dyDescent="0.2">
      <c r="C12" s="8">
        <f t="shared" ref="C12:E13" si="9">C5/C$8</f>
        <v>0.25</v>
      </c>
      <c r="D12" s="8">
        <f t="shared" si="9"/>
        <v>0.25</v>
      </c>
      <c r="E12" s="8">
        <f t="shared" si="9"/>
        <v>0.25</v>
      </c>
      <c r="H12" s="8">
        <f t="shared" ref="H12:J13" si="10">H5/H$8</f>
        <v>0.27272727272727276</v>
      </c>
      <c r="I12" s="8">
        <f t="shared" si="10"/>
        <v>0.3</v>
      </c>
      <c r="J12" s="8">
        <f t="shared" si="10"/>
        <v>0.42857142857142855</v>
      </c>
      <c r="M12" s="8">
        <f t="shared" ref="M12:O13" si="11">M5/M$8</f>
        <v>0.21052631578947367</v>
      </c>
      <c r="N12" s="8">
        <f t="shared" si="11"/>
        <v>0.23076923076923078</v>
      </c>
      <c r="O12" s="8">
        <f t="shared" si="11"/>
        <v>0.375</v>
      </c>
      <c r="R12" s="8">
        <f t="shared" ref="R12:T13" si="12">R5/R$8</f>
        <v>0.24491021402550811</v>
      </c>
      <c r="S12" s="8">
        <f t="shared" si="12"/>
        <v>0.26523944209558636</v>
      </c>
      <c r="T12" s="8">
        <f t="shared" si="12"/>
        <v>0.34873918859419717</v>
      </c>
    </row>
    <row r="13" spans="2:20" hidden="1" x14ac:dyDescent="0.2">
      <c r="C13" s="8">
        <f t="shared" si="9"/>
        <v>0.25</v>
      </c>
      <c r="D13" s="8">
        <f t="shared" si="9"/>
        <v>0.25</v>
      </c>
      <c r="E13" s="8">
        <f t="shared" si="9"/>
        <v>0.25</v>
      </c>
      <c r="H13" s="8">
        <f t="shared" si="10"/>
        <v>0.18181818181818182</v>
      </c>
      <c r="I13" s="8">
        <f t="shared" si="10"/>
        <v>9.9999999999999992E-2</v>
      </c>
      <c r="J13" s="8">
        <f t="shared" si="10"/>
        <v>0.14285714285714285</v>
      </c>
      <c r="M13" s="8">
        <f t="shared" si="11"/>
        <v>0.15789473684210528</v>
      </c>
      <c r="N13" s="8">
        <f t="shared" si="11"/>
        <v>7.6923076923076927E-2</v>
      </c>
      <c r="O13" s="8">
        <f t="shared" si="11"/>
        <v>0.125</v>
      </c>
      <c r="R13" s="8">
        <f t="shared" si="12"/>
        <v>0.19438536569092418</v>
      </c>
      <c r="S13" s="8">
        <f t="shared" si="12"/>
        <v>0.12751382379697873</v>
      </c>
      <c r="T13" s="8">
        <f t="shared" si="12"/>
        <v>0.16765631496644506</v>
      </c>
    </row>
    <row r="14" spans="2:20" hidden="1" x14ac:dyDescent="0.2"/>
    <row r="15" spans="2:20" x14ac:dyDescent="0.2">
      <c r="D15" s="8" t="str">
        <f>B4</f>
        <v>Digitalni postupak skraćuje ukupno vrijeme obrade certifikata s prosječno 3–4 radna dana na manje od 1 radnog dana, bez potrebe za fizičkom dokumentacijom.</v>
      </c>
      <c r="E15" s="8">
        <f>AVERAGE(C11:E11)</f>
        <v>0.5</v>
      </c>
      <c r="I15" s="8" t="str">
        <f>G4</f>
        <v>Digitalni postupak skraćuje ukupno vrijeme obrade certifikata s prosječno 3–4 radna dana na manje od 1 radnog dana, bez potrebe za fizičkom dokumentacijom.</v>
      </c>
      <c r="J15" s="8">
        <f>AVERAGE(H11:J11)</f>
        <v>0.52467532467532474</v>
      </c>
      <c r="N15" s="8" t="str">
        <f>L4</f>
        <v>Digitalni postupak skraćuje ukupno vrijeme obrade certifikata s prosječno 3–4 radna dana na manje od 1 radnog dana, bez potrebe za fizičkom dokumentacijom.</v>
      </c>
      <c r="O15" s="8">
        <f>AVERAGE(M11:O11)</f>
        <v>0.60796221322537114</v>
      </c>
      <c r="S15" s="8" t="str">
        <f>Q4</f>
        <v>Digitalni postupak skraćuje ukupno vrijeme obrade certifikata s prosječno 3–4 radna dana na manje od 1 radnog dana, bez potrebe za fizičkom dokumentacijom.</v>
      </c>
      <c r="T15" s="11">
        <f>AVERAGE(R11:T11)</f>
        <v>0.55051855027678676</v>
      </c>
    </row>
    <row r="16" spans="2:20" x14ac:dyDescent="0.2">
      <c r="D16" s="8" t="str">
        <f t="shared" ref="D16:D17" si="13">B5</f>
        <v>Remote kontrola skraćuje trajanje pregleda s prosječno 8 sati na 2–3 sata, što omogućuje provođenje većeg broja kontrola u istom radnom danu.</v>
      </c>
      <c r="E16" s="8">
        <f t="shared" ref="E16:E17" si="14">AVERAGE(C12:E12)</f>
        <v>0.25</v>
      </c>
      <c r="I16" s="8" t="str">
        <f t="shared" ref="I16:I17" si="15">G5</f>
        <v>Remote kontrola skraćuje trajanje pregleda s prosječno 8 sati na 2–3 sata, što omogućuje provođenje većeg broja kontrola u istom radnom danu.</v>
      </c>
      <c r="J16" s="8">
        <f t="shared" ref="J16:J17" si="16">AVERAGE(H12:J12)</f>
        <v>0.33376623376623377</v>
      </c>
      <c r="N16" s="8" t="str">
        <f t="shared" ref="N16:N17" si="17">L5</f>
        <v>Remote kontrola skraćuje trajanje pregleda s prosječno 8 sati na 2–3 sata, što omogućuje provođenje većeg broja kontrola u istom radnom danu.</v>
      </c>
      <c r="O16" s="8">
        <f t="shared" ref="O16:O17" si="18">AVERAGE(M12:O12)</f>
        <v>0.27209851551956815</v>
      </c>
      <c r="S16" s="8" t="str">
        <f t="shared" ref="S16:S17" si="19">Q5</f>
        <v>Remote kontrola skraćuje trajanje pregleda s prosječno 8 sati na 2–3 sata, što omogućuje provođenje većeg broja kontrola u istom radnom danu.</v>
      </c>
      <c r="T16" s="11">
        <f t="shared" ref="T16:T17" si="20">AVERAGE(R12:T12)</f>
        <v>0.2862962815717639</v>
      </c>
    </row>
    <row r="17" spans="2:20" x14ac:dyDescent="0.2">
      <c r="D17" s="8" t="str">
        <f t="shared" si="13"/>
        <v>Automatizirano prikupljanje prijava i potvrda skraćuje vrijeme organizacije s prosječno 5 radnih dana na 1–2 radna dana.</v>
      </c>
      <c r="E17" s="8">
        <f t="shared" si="14"/>
        <v>0.25</v>
      </c>
      <c r="I17" s="8" t="str">
        <f t="shared" si="15"/>
        <v>Automatizirano prikupljanje prijava i potvrda skraćuje vrijeme organizacije s prosječno 5 radnih dana na 1–2 radna dana.</v>
      </c>
      <c r="J17" s="8">
        <f t="shared" si="16"/>
        <v>0.14155844155844155</v>
      </c>
      <c r="N17" s="8" t="str">
        <f t="shared" si="17"/>
        <v>Automatizirano prikupljanje prijava i potvrda skraćuje vrijeme organizacije s prosječno 5 radnih dana na 1–2 radna dana.</v>
      </c>
      <c r="O17" s="8">
        <f t="shared" si="18"/>
        <v>0.11993927125506072</v>
      </c>
      <c r="S17" s="8" t="str">
        <f t="shared" si="19"/>
        <v>Automatizirano prikupljanje prijava i potvrda skraćuje vrijeme organizacije s prosječno 5 radnih dana na 1–2 radna dana.</v>
      </c>
      <c r="T17" s="11">
        <f t="shared" si="20"/>
        <v>0.16318516815144932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0.5</v>
      </c>
      <c r="D21" s="8">
        <f>D4*E$16</f>
        <v>0.5</v>
      </c>
      <c r="E21" s="8">
        <f>E4*E$17</f>
        <v>0.5</v>
      </c>
      <c r="H21" s="8">
        <f>H4*J$15</f>
        <v>0.52467532467532474</v>
      </c>
      <c r="I21" s="8">
        <f>I4*J$16</f>
        <v>0.66753246753246753</v>
      </c>
      <c r="J21" s="8">
        <f>J4*J$17</f>
        <v>0.42467532467532465</v>
      </c>
      <c r="M21" s="8">
        <f>M4*O$15</f>
        <v>0.60796221322537114</v>
      </c>
      <c r="N21" s="8">
        <f>N4*O$16</f>
        <v>0.81629554655870451</v>
      </c>
      <c r="O21" s="8">
        <f>O4*O$17</f>
        <v>0.47975708502024289</v>
      </c>
      <c r="R21" s="8">
        <f>R4*T$15</f>
        <v>0.55051855027678676</v>
      </c>
      <c r="S21" s="8">
        <f>S4*T$16</f>
        <v>0.6554548622105143</v>
      </c>
      <c r="T21" s="8">
        <f>T4*T$17</f>
        <v>0.47070747729393991</v>
      </c>
    </row>
    <row r="22" spans="2:20" hidden="1" x14ac:dyDescent="0.2">
      <c r="C22" s="8">
        <f t="shared" ref="C22:C23" si="21">C5*E$15</f>
        <v>0.25</v>
      </c>
      <c r="D22" s="8">
        <f t="shared" ref="D22:D23" si="22">D5*E$16</f>
        <v>0.25</v>
      </c>
      <c r="E22" s="8">
        <f t="shared" ref="E22:E23" si="23">E5*E$17</f>
        <v>0.25</v>
      </c>
      <c r="H22" s="8">
        <f t="shared" ref="H22:H23" si="24">H5*J$15</f>
        <v>0.26233766233766237</v>
      </c>
      <c r="I22" s="8">
        <f t="shared" ref="I22:I23" si="25">I5*J$16</f>
        <v>0.33376623376623377</v>
      </c>
      <c r="J22" s="8">
        <f t="shared" ref="J22:J23" si="26">J5*J$17</f>
        <v>0.42467532467532465</v>
      </c>
      <c r="M22" s="8">
        <f t="shared" ref="M22:M23" si="27">M5*O$15</f>
        <v>0.2026540710751237</v>
      </c>
      <c r="N22" s="8">
        <f t="shared" ref="N22:N23" si="28">N5*O$16</f>
        <v>0.27209851551956815</v>
      </c>
      <c r="O22" s="8">
        <f t="shared" ref="O22:O23" si="29">O5*O$17</f>
        <v>0.35981781376518218</v>
      </c>
      <c r="R22" s="8">
        <f t="shared" ref="R22:R23" si="30">R5*T$15</f>
        <v>0.24046112549837445</v>
      </c>
      <c r="S22" s="8">
        <f t="shared" ref="S22:S23" si="31">S5*T$16</f>
        <v>0.2862962815717639</v>
      </c>
      <c r="T22" s="8">
        <f t="shared" ref="T22:T23" si="32">T5*T$17</f>
        <v>0.33943882843383449</v>
      </c>
    </row>
    <row r="23" spans="2:20" hidden="1" x14ac:dyDescent="0.2">
      <c r="C23" s="8">
        <f t="shared" si="21"/>
        <v>0.25</v>
      </c>
      <c r="D23" s="8">
        <f t="shared" si="22"/>
        <v>0.25</v>
      </c>
      <c r="E23" s="8">
        <f t="shared" si="23"/>
        <v>0.25</v>
      </c>
      <c r="H23" s="8">
        <f t="shared" si="24"/>
        <v>0.1748917748917749</v>
      </c>
      <c r="I23" s="8">
        <f t="shared" si="25"/>
        <v>0.11125541125541125</v>
      </c>
      <c r="J23" s="8">
        <f t="shared" si="26"/>
        <v>0.14155844155844155</v>
      </c>
      <c r="M23" s="8">
        <f t="shared" si="27"/>
        <v>0.15199055330634278</v>
      </c>
      <c r="N23" s="8">
        <f t="shared" si="28"/>
        <v>9.0699505173189379E-2</v>
      </c>
      <c r="O23" s="8">
        <f t="shared" si="29"/>
        <v>0.11993927125506072</v>
      </c>
      <c r="R23" s="8">
        <f t="shared" si="30"/>
        <v>0.1908541217867884</v>
      </c>
      <c r="S23" s="8">
        <f t="shared" si="31"/>
        <v>0.13763689635916176</v>
      </c>
      <c r="T23" s="8">
        <f t="shared" si="32"/>
        <v>0.16318516815144932</v>
      </c>
    </row>
    <row r="24" spans="2:20" hidden="1" x14ac:dyDescent="0.2"/>
    <row r="25" spans="2:20" hidden="1" x14ac:dyDescent="0.2">
      <c r="C25" s="8">
        <f>SUM(C21:E21)</f>
        <v>1.5</v>
      </c>
      <c r="D25" s="8">
        <f>SUM(C22:E22)</f>
        <v>0.75</v>
      </c>
      <c r="E25" s="8">
        <f>SUM(C23:E23)</f>
        <v>0.75</v>
      </c>
      <c r="H25" s="8">
        <f>SUM(H21:J21)</f>
        <v>1.616883116883117</v>
      </c>
      <c r="I25" s="8">
        <f>SUM(H22:J22)</f>
        <v>1.0207792207792208</v>
      </c>
      <c r="J25" s="8">
        <f>SUM(H23:J23)</f>
        <v>0.4277056277056277</v>
      </c>
      <c r="M25" s="8">
        <f>SUM(M21:O21)</f>
        <v>1.9040148448043184</v>
      </c>
      <c r="N25" s="8">
        <f>SUM(M22:O22)</f>
        <v>0.83457040035987407</v>
      </c>
      <c r="O25" s="8">
        <f>SUM(M23:O23)</f>
        <v>0.36262932973459289</v>
      </c>
      <c r="R25" s="8">
        <f>SUM(R21:T21)</f>
        <v>1.6766808897812409</v>
      </c>
      <c r="S25" s="8">
        <f>SUM(R22:T22)</f>
        <v>0.86619623550397296</v>
      </c>
      <c r="T25" s="8">
        <f>SUM(R23:T23)</f>
        <v>0.49167618629739951</v>
      </c>
    </row>
    <row r="26" spans="2:20" hidden="1" x14ac:dyDescent="0.2"/>
    <row r="27" spans="2:20" hidden="1" x14ac:dyDescent="0.2">
      <c r="C27" s="8">
        <f>E15</f>
        <v>0.5</v>
      </c>
      <c r="D27" s="8">
        <f>E16</f>
        <v>0.25</v>
      </c>
      <c r="E27" s="8">
        <f>E17</f>
        <v>0.25</v>
      </c>
      <c r="H27" s="8">
        <f>J15</f>
        <v>0.52467532467532474</v>
      </c>
      <c r="I27" s="8">
        <f>J16</f>
        <v>0.33376623376623377</v>
      </c>
      <c r="J27" s="8">
        <f>J17</f>
        <v>0.14155844155844155</v>
      </c>
      <c r="M27" s="8">
        <f>O15</f>
        <v>0.60796221322537114</v>
      </c>
      <c r="N27" s="8">
        <f>O16</f>
        <v>0.27209851551956815</v>
      </c>
      <c r="O27" s="8">
        <f>O17</f>
        <v>0.11993927125506072</v>
      </c>
      <c r="R27" s="8">
        <f>T15</f>
        <v>0.55051855027678676</v>
      </c>
      <c r="S27" s="8">
        <f>T16</f>
        <v>0.2862962815717639</v>
      </c>
      <c r="T27" s="8">
        <f>T17</f>
        <v>0.16318516815144932</v>
      </c>
    </row>
    <row r="28" spans="2:20" hidden="1" x14ac:dyDescent="0.2"/>
    <row r="29" spans="2:20" hidden="1" x14ac:dyDescent="0.2">
      <c r="C29" s="8">
        <f>C25/C27</f>
        <v>3</v>
      </c>
      <c r="D29" s="8">
        <f t="shared" ref="D29:E29" si="33">D25/D27</f>
        <v>3</v>
      </c>
      <c r="E29" s="8">
        <f t="shared" si="33"/>
        <v>3</v>
      </c>
      <c r="H29" s="8">
        <f>H25/H27</f>
        <v>3.0816831683168315</v>
      </c>
      <c r="I29" s="8">
        <f t="shared" ref="I29:J29" si="34">I25/I27</f>
        <v>3.058365758754864</v>
      </c>
      <c r="J29" s="8">
        <f t="shared" si="34"/>
        <v>3.0214067278287464</v>
      </c>
      <c r="M29" s="8">
        <f>M25/M27</f>
        <v>3.1317980022197554</v>
      </c>
      <c r="N29" s="8">
        <f t="shared" ref="N29:O29" si="35">N25/N27</f>
        <v>3.0671626369084524</v>
      </c>
      <c r="O29" s="8">
        <f t="shared" si="35"/>
        <v>3.0234411626816691</v>
      </c>
      <c r="R29" s="8">
        <f>R25/R27</f>
        <v>3.04563922312563</v>
      </c>
      <c r="S29" s="8">
        <f t="shared" ref="S29:T29" si="36">S25/S27</f>
        <v>3.0255238759950487</v>
      </c>
      <c r="T29" s="8">
        <f t="shared" si="36"/>
        <v>3.0129955550928709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</v>
      </c>
      <c r="I31" s="8" t="s">
        <v>20</v>
      </c>
      <c r="J31" s="8">
        <f>AVERAGE(H29:J29)</f>
        <v>3.0538185516334813</v>
      </c>
      <c r="N31" s="8" t="s">
        <v>20</v>
      </c>
      <c r="O31" s="8">
        <f>AVERAGE(M29:O29)</f>
        <v>3.0741339339366256</v>
      </c>
      <c r="S31" s="8" t="s">
        <v>20</v>
      </c>
      <c r="T31" s="8">
        <f>AVERAGE(R29:T29)</f>
        <v>3.0280528847378498</v>
      </c>
    </row>
    <row r="32" spans="2:20" hidden="1" x14ac:dyDescent="0.2">
      <c r="D32" s="8" t="s">
        <v>21</v>
      </c>
      <c r="E32" s="8">
        <f>(E31-3)/2</f>
        <v>0</v>
      </c>
      <c r="I32" s="8" t="s">
        <v>21</v>
      </c>
      <c r="J32" s="8">
        <f>(J31-3)/2</f>
        <v>2.690927581674063E-2</v>
      </c>
      <c r="N32" s="8" t="s">
        <v>21</v>
      </c>
      <c r="O32" s="8">
        <f>(O31-3)/2</f>
        <v>3.7066966968312798E-2</v>
      </c>
      <c r="S32" s="8" t="s">
        <v>21</v>
      </c>
      <c r="T32" s="8">
        <f>(T31-3)/2</f>
        <v>1.4026442368924918E-2</v>
      </c>
    </row>
    <row r="33" spans="4:20" x14ac:dyDescent="0.2">
      <c r="D33" s="8" t="s">
        <v>22</v>
      </c>
      <c r="E33" s="8">
        <f>E32/0.52</f>
        <v>0</v>
      </c>
      <c r="I33" s="8" t="s">
        <v>22</v>
      </c>
      <c r="J33" s="8">
        <f>J32/0.52</f>
        <v>5.1748607339885823E-2</v>
      </c>
      <c r="N33" s="8" t="s">
        <v>22</v>
      </c>
      <c r="O33" s="8">
        <f>O32/0.52</f>
        <v>7.128262878521692E-2</v>
      </c>
      <c r="S33" s="8" t="s">
        <v>22</v>
      </c>
      <c r="T33" s="8">
        <f>T32/0.52</f>
        <v>2.6973927632547919E-2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CA62-17B2-7748-B281-CE14810AD4AF}">
  <dimension ref="B3:T33"/>
  <sheetViews>
    <sheetView zoomScale="85" zoomScaleNormal="85" workbookViewId="0">
      <selection activeCell="J20" sqref="J20"/>
    </sheetView>
  </sheetViews>
  <sheetFormatPr baseColWidth="10" defaultColWidth="8.83203125" defaultRowHeight="15" x14ac:dyDescent="0.2"/>
  <cols>
    <col min="2" max="2" width="22.1640625" customWidth="1"/>
    <col min="3" max="3" width="21.83203125" customWidth="1"/>
    <col min="4" max="4" width="22.6640625" customWidth="1"/>
    <col min="5" max="5" width="20.5" customWidth="1"/>
    <col min="7" max="7" width="22.1640625" customWidth="1"/>
    <col min="8" max="9" width="23.33203125" customWidth="1"/>
    <col min="10" max="10" width="20" customWidth="1"/>
    <col min="12" max="12" width="21.5" customWidth="1"/>
    <col min="13" max="13" width="22.1640625" customWidth="1"/>
    <col min="14" max="14" width="23.1640625" customWidth="1"/>
    <col min="15" max="15" width="21.5" customWidth="1"/>
    <col min="17" max="17" width="20" customWidth="1"/>
    <col min="18" max="18" width="22.1640625" customWidth="1"/>
    <col min="19" max="19" width="21.33203125" customWidth="1"/>
    <col min="20" max="20" width="22" customWidth="1"/>
  </cols>
  <sheetData>
    <row r="3" spans="2:20" ht="105.5" customHeight="1" x14ac:dyDescent="0.2">
      <c r="B3" s="8"/>
      <c r="C3" s="13" t="str">
        <f>B4</f>
        <v>Automatizacijom se eliminira oko 80 % ručnih administrativnih aktivnosti, čime se trošak obrade jednog certifikata smanjuje za približno 25–30 %.</v>
      </c>
      <c r="D3" s="13" t="str">
        <f>B5</f>
        <v>Uklanjanjem terenskih pregleda i putnih troškova, trošak pojedinačne kontrole smanjuje se za 30–40 %, uz zadržavanje potrebne razine stručne provjere.</v>
      </c>
      <c r="E3" s="13" t="str">
        <f>B6</f>
        <v>Digitalno planiranje, prijave i evidencija smanjuju operativne troškove pripreme programa za približno 20–25 % u odnosu na ručno planiranje.</v>
      </c>
      <c r="G3" s="8"/>
      <c r="H3" s="13" t="str">
        <f>G4</f>
        <v>Automatizacijom se eliminira oko 80 % ručnih administrativnih aktivnosti, čime se trošak obrade jednog certifikata smanjuje za približno 25–30 %.</v>
      </c>
      <c r="I3" s="13" t="str">
        <f>G5</f>
        <v>Uklanjanjem terenskih pregleda i putnih troškova, trošak pojedinačne kontrole smanjuje se za 30–40 %, uz zadržavanje potrebne razine stručne provjere.</v>
      </c>
      <c r="J3" s="13" t="str">
        <f>G6</f>
        <v>Digitalno planiranje, prijave i evidencija smanjuju operativne troškove pripreme programa za približno 20–25 % u odnosu na ručno planiranje.</v>
      </c>
      <c r="L3" s="8"/>
      <c r="M3" s="13" t="str">
        <f>L4</f>
        <v>Automatizacijom se eliminira oko 80 % ručnih administrativnih aktivnosti, čime se trošak obrade jednog certifikata smanjuje za približno 25–30 %.</v>
      </c>
      <c r="N3" s="13" t="str">
        <f>L5</f>
        <v>Uklanjanjem terenskih pregleda i putnih troškova, trošak pojedinačne kontrole smanjuje se za 30–40 %, uz zadržavanje potrebne razine stručne provjere.</v>
      </c>
      <c r="O3" s="13" t="str">
        <f>L6</f>
        <v>Digitalno planiranje, prijave i evidencija smanjuju operativne troškove pripreme programa za približno 20–25 % u odnosu na ručno planiranje.</v>
      </c>
      <c r="Q3" s="8"/>
      <c r="R3" s="13" t="str">
        <f>Q4</f>
        <v>Automatizacijom se eliminira oko 80 % ručnih administrativnih aktivnosti, čime se trošak obrade jednog certifikata smanjuje za približno 25–30 %.</v>
      </c>
      <c r="S3" s="13" t="str">
        <f>Q5</f>
        <v>Uklanjanjem terenskih pregleda i putnih troškova, trošak pojedinačne kontrole smanjuje se za 30–40 %, uz zadržavanje potrebne razine stručne provjere.</v>
      </c>
      <c r="T3" s="13" t="str">
        <f>Q6</f>
        <v>Digitalno planiranje, prijave i evidencija smanjuju operativne troškove pripreme programa za približno 20–25 % u odnosu na ručno planiranje.</v>
      </c>
    </row>
    <row r="4" spans="2:20" ht="106.25" customHeight="1" x14ac:dyDescent="0.2">
      <c r="B4" s="12" t="s">
        <v>205</v>
      </c>
      <c r="C4" s="8">
        <v>1</v>
      </c>
      <c r="D4" s="8">
        <v>1</v>
      </c>
      <c r="E4" s="8">
        <v>2</v>
      </c>
      <c r="G4" s="13" t="str">
        <f>B4</f>
        <v>Automatizacijom se eliminira oko 80 % ručnih administrativnih aktivnosti, čime se trošak obrade jednog certifikata smanjuje za približno 25–30 %.</v>
      </c>
      <c r="H4" s="8">
        <v>1</v>
      </c>
      <c r="I4" s="8">
        <v>2</v>
      </c>
      <c r="J4" s="8">
        <v>3</v>
      </c>
      <c r="L4" s="13" t="str">
        <f>G4</f>
        <v>Automatizacijom se eliminira oko 80 % ručnih administrativnih aktivnosti, čime se trošak obrade jednog certifikata smanjuje za približno 25–30 %.</v>
      </c>
      <c r="M4" s="8">
        <v>1</v>
      </c>
      <c r="N4" s="8">
        <v>1</v>
      </c>
      <c r="O4" s="8">
        <v>3</v>
      </c>
      <c r="Q4" s="13" t="str">
        <f>L4</f>
        <v>Automatizacijom se eliminira oko 80 % ručnih administrativnih aktivnosti, čime se trošak obrade jednog certifikata smanjuje za približno 25–30 %.</v>
      </c>
      <c r="R4" s="8">
        <f>GEOMEAN(C4,H4,M4)</f>
        <v>1</v>
      </c>
      <c r="S4" s="8">
        <f t="shared" ref="S4:T6" si="0">GEOMEAN(D4,I4,N4)</f>
        <v>1.2599210498948732</v>
      </c>
      <c r="T4" s="8">
        <f t="shared" si="0"/>
        <v>2.6207413942088964</v>
      </c>
    </row>
    <row r="5" spans="2:20" ht="118.25" customHeight="1" x14ac:dyDescent="0.2">
      <c r="B5" s="12" t="s">
        <v>206</v>
      </c>
      <c r="C5" s="8">
        <v>1</v>
      </c>
      <c r="D5" s="8">
        <v>1</v>
      </c>
      <c r="E5" s="8">
        <v>3</v>
      </c>
      <c r="G5" s="13" t="str">
        <f t="shared" ref="G5:G6" si="1">B5</f>
        <v>Uklanjanjem terenskih pregleda i putnih troškova, trošak pojedinačne kontrole smanjuje se za 30–40 %, uz zadržavanje potrebne razine stručne provjere.</v>
      </c>
      <c r="H5" s="8">
        <f>1/2</f>
        <v>0.5</v>
      </c>
      <c r="I5" s="8">
        <v>1</v>
      </c>
      <c r="J5" s="8">
        <v>3</v>
      </c>
      <c r="L5" s="13" t="str">
        <f t="shared" ref="L5:L6" si="2">G5</f>
        <v>Uklanjanjem terenskih pregleda i putnih troškova, trošak pojedinačne kontrole smanjuje se za 30–40 %, uz zadržavanje potrebne razine stručne provjere.</v>
      </c>
      <c r="M5" s="8">
        <v>1</v>
      </c>
      <c r="N5" s="8">
        <v>1</v>
      </c>
      <c r="O5" s="8">
        <v>4</v>
      </c>
      <c r="Q5" s="13" t="str">
        <f t="shared" ref="Q5:Q6" si="3">L5</f>
        <v>Uklanjanjem terenskih pregleda i putnih troškova, trošak pojedinačne kontrole smanjuje se za 30–40 %, uz zadržavanje potrebne razine stručne provjere.</v>
      </c>
      <c r="R5" s="8">
        <f t="shared" ref="R5:R6" si="4">GEOMEAN(C5,H5,M5)</f>
        <v>0.79370052598409979</v>
      </c>
      <c r="S5" s="8">
        <f t="shared" si="0"/>
        <v>1</v>
      </c>
      <c r="T5" s="8">
        <f t="shared" si="0"/>
        <v>3.3019272488946267</v>
      </c>
    </row>
    <row r="6" spans="2:20" ht="118.25" customHeight="1" x14ac:dyDescent="0.2">
      <c r="B6" s="12" t="s">
        <v>207</v>
      </c>
      <c r="C6" s="8">
        <f>1/2</f>
        <v>0.5</v>
      </c>
      <c r="D6" s="8">
        <f>1/3</f>
        <v>0.33333333333333331</v>
      </c>
      <c r="E6" s="8">
        <v>1</v>
      </c>
      <c r="G6" s="13" t="str">
        <f t="shared" si="1"/>
        <v>Digitalno planiranje, prijave i evidencija smanjuju operativne troškove pripreme programa za približno 20–25 % u odnosu na ručno planiranje.</v>
      </c>
      <c r="H6" s="8">
        <f>1/3</f>
        <v>0.33333333333333331</v>
      </c>
      <c r="I6" s="8">
        <f>1/3</f>
        <v>0.33333333333333331</v>
      </c>
      <c r="J6" s="8">
        <v>1</v>
      </c>
      <c r="L6" s="13" t="str">
        <f t="shared" si="2"/>
        <v>Digitalno planiranje, prijave i evidencija smanjuju operativne troškove pripreme programa za približno 20–25 % u odnosu na ručno planiranje.</v>
      </c>
      <c r="M6" s="8">
        <f>1/3</f>
        <v>0.33333333333333331</v>
      </c>
      <c r="N6" s="8">
        <f>1/4</f>
        <v>0.25</v>
      </c>
      <c r="O6" s="8">
        <v>1</v>
      </c>
      <c r="Q6" s="13" t="str">
        <f t="shared" si="3"/>
        <v>Digitalno planiranje, prijave i evidencija smanjuju operativne troškove pripreme programa za približno 20–25 % u odnosu na ručno planiranje.</v>
      </c>
      <c r="R6" s="8">
        <f t="shared" si="4"/>
        <v>0.38157141418444396</v>
      </c>
      <c r="S6" s="8">
        <f t="shared" si="0"/>
        <v>0.30285343213868993</v>
      </c>
      <c r="T6" s="8">
        <f t="shared" si="0"/>
        <v>1</v>
      </c>
    </row>
    <row r="8" spans="2:20" hidden="1" x14ac:dyDescent="0.2">
      <c r="C8" s="8">
        <f>SUM(C4:C6)</f>
        <v>2.5</v>
      </c>
      <c r="D8" s="8">
        <f t="shared" ref="D8:E8" si="5">SUM(D4:D6)</f>
        <v>2.3333333333333335</v>
      </c>
      <c r="E8" s="8">
        <f t="shared" si="5"/>
        <v>6</v>
      </c>
      <c r="H8" s="8">
        <f>SUM(H4:H6)</f>
        <v>1.8333333333333333</v>
      </c>
      <c r="I8" s="8">
        <f t="shared" ref="I8:J8" si="6">SUM(I4:I6)</f>
        <v>3.3333333333333335</v>
      </c>
      <c r="J8" s="8">
        <f t="shared" si="6"/>
        <v>7</v>
      </c>
      <c r="M8" s="8">
        <f>SUM(M4:M6)</f>
        <v>2.3333333333333335</v>
      </c>
      <c r="N8" s="8">
        <f t="shared" ref="N8:O8" si="7">SUM(N4:N6)</f>
        <v>2.25</v>
      </c>
      <c r="O8" s="8">
        <f t="shared" si="7"/>
        <v>8</v>
      </c>
      <c r="R8" s="8">
        <f>SUM(R4:R6)</f>
        <v>2.1752719401685434</v>
      </c>
      <c r="S8" s="8">
        <f t="shared" ref="S8:T8" si="8">SUM(S4:S6)</f>
        <v>2.5627744820335634</v>
      </c>
      <c r="T8" s="8">
        <f t="shared" si="8"/>
        <v>6.9226686431035231</v>
      </c>
    </row>
    <row r="9" spans="2:20" hidden="1" x14ac:dyDescent="0.2"/>
    <row r="10" spans="2:20" hidden="1" x14ac:dyDescent="0.2"/>
    <row r="11" spans="2:20" hidden="1" x14ac:dyDescent="0.2">
      <c r="C11" s="8">
        <f>C4/C$8</f>
        <v>0.4</v>
      </c>
      <c r="D11" s="8">
        <f>D4/D$8</f>
        <v>0.42857142857142855</v>
      </c>
      <c r="E11" s="8">
        <f>E4/E$8</f>
        <v>0.33333333333333331</v>
      </c>
      <c r="H11" s="8">
        <f>H4/H$8</f>
        <v>0.54545454545454553</v>
      </c>
      <c r="I11" s="8">
        <f>I4/I$8</f>
        <v>0.6</v>
      </c>
      <c r="J11" s="8">
        <f>J4/J$8</f>
        <v>0.42857142857142855</v>
      </c>
      <c r="M11" s="8">
        <f>M4/M$8</f>
        <v>0.42857142857142855</v>
      </c>
      <c r="N11" s="8">
        <f>N4/N$8</f>
        <v>0.44444444444444442</v>
      </c>
      <c r="O11" s="8">
        <f>O4/O$8</f>
        <v>0.375</v>
      </c>
      <c r="R11" s="8">
        <f>R4/R$8</f>
        <v>0.45971263708873039</v>
      </c>
      <c r="S11" s="8">
        <f>S4/S$8</f>
        <v>0.49162384701720807</v>
      </c>
      <c r="T11" s="8">
        <f>T4/T$8</f>
        <v>0.37857386064833859</v>
      </c>
    </row>
    <row r="12" spans="2:20" hidden="1" x14ac:dyDescent="0.2">
      <c r="C12" s="8">
        <f t="shared" ref="C12:E13" si="9">C5/C$8</f>
        <v>0.4</v>
      </c>
      <c r="D12" s="8">
        <f t="shared" si="9"/>
        <v>0.42857142857142855</v>
      </c>
      <c r="E12" s="8">
        <f t="shared" si="9"/>
        <v>0.5</v>
      </c>
      <c r="H12" s="8">
        <f t="shared" ref="H12:J13" si="10">H5/H$8</f>
        <v>0.27272727272727276</v>
      </c>
      <c r="I12" s="8">
        <f t="shared" si="10"/>
        <v>0.3</v>
      </c>
      <c r="J12" s="8">
        <f t="shared" si="10"/>
        <v>0.42857142857142855</v>
      </c>
      <c r="M12" s="8">
        <f t="shared" ref="M12:O13" si="11">M5/M$8</f>
        <v>0.42857142857142855</v>
      </c>
      <c r="N12" s="8">
        <f t="shared" si="11"/>
        <v>0.44444444444444442</v>
      </c>
      <c r="O12" s="8">
        <f t="shared" si="11"/>
        <v>0.5</v>
      </c>
      <c r="R12" s="8">
        <f t="shared" ref="R12:T13" si="12">R5/R$8</f>
        <v>0.3648741618588629</v>
      </c>
      <c r="S12" s="8">
        <f t="shared" si="12"/>
        <v>0.3902021059638846</v>
      </c>
      <c r="T12" s="8">
        <f t="shared" si="12"/>
        <v>0.47697317597081024</v>
      </c>
    </row>
    <row r="13" spans="2:20" hidden="1" x14ac:dyDescent="0.2">
      <c r="C13" s="8">
        <f t="shared" si="9"/>
        <v>0.2</v>
      </c>
      <c r="D13" s="8">
        <f t="shared" si="9"/>
        <v>0.14285714285714285</v>
      </c>
      <c r="E13" s="8">
        <f t="shared" si="9"/>
        <v>0.16666666666666666</v>
      </c>
      <c r="H13" s="8">
        <f t="shared" si="10"/>
        <v>0.18181818181818182</v>
      </c>
      <c r="I13" s="8">
        <f t="shared" si="10"/>
        <v>9.9999999999999992E-2</v>
      </c>
      <c r="J13" s="8">
        <f t="shared" si="10"/>
        <v>0.14285714285714285</v>
      </c>
      <c r="M13" s="8">
        <f t="shared" si="11"/>
        <v>0.14285714285714285</v>
      </c>
      <c r="N13" s="8">
        <f t="shared" si="11"/>
        <v>0.1111111111111111</v>
      </c>
      <c r="O13" s="8">
        <f t="shared" si="11"/>
        <v>0.125</v>
      </c>
      <c r="R13" s="8">
        <f t="shared" si="12"/>
        <v>0.1754132010524069</v>
      </c>
      <c r="S13" s="8">
        <f t="shared" si="12"/>
        <v>0.11817404701890723</v>
      </c>
      <c r="T13" s="8">
        <f t="shared" si="12"/>
        <v>0.14445296338085117</v>
      </c>
    </row>
    <row r="14" spans="2:20" hidden="1" x14ac:dyDescent="0.2"/>
    <row r="15" spans="2:20" x14ac:dyDescent="0.2">
      <c r="D15" s="8" t="str">
        <f>B4</f>
        <v>Automatizacijom se eliminira oko 80 % ručnih administrativnih aktivnosti, čime se trošak obrade jednog certifikata smanjuje za približno 25–30 %.</v>
      </c>
      <c r="E15" s="8">
        <f>AVERAGE(C11:E11)</f>
        <v>0.38730158730158726</v>
      </c>
      <c r="I15" s="8" t="str">
        <f>G4</f>
        <v>Automatizacijom se eliminira oko 80 % ručnih administrativnih aktivnosti, čime se trošak obrade jednog certifikata smanjuje za približno 25–30 %.</v>
      </c>
      <c r="J15" s="8">
        <f>AVERAGE(H11:J11)</f>
        <v>0.52467532467532474</v>
      </c>
      <c r="N15" s="8" t="str">
        <f>L4</f>
        <v>Automatizacijom se eliminira oko 80 % ručnih administrativnih aktivnosti, čime se trošak obrade jednog certifikata smanjuje za približno 25–30 %.</v>
      </c>
      <c r="O15" s="8">
        <f>AVERAGE(M11:O11)</f>
        <v>0.41600529100529099</v>
      </c>
      <c r="S15" s="8" t="str">
        <f>Q4</f>
        <v>Automatizacijom se eliminira oko 80 % ručnih administrativnih aktivnosti, čime se trošak obrade jednog certifikata smanjuje za približno 25–30 %.</v>
      </c>
      <c r="T15" s="11">
        <f>AVERAGE(R11:T11)</f>
        <v>0.4433034482514257</v>
      </c>
    </row>
    <row r="16" spans="2:20" x14ac:dyDescent="0.2">
      <c r="D16" s="8" t="str">
        <f t="shared" ref="D16:D17" si="13">B5</f>
        <v>Uklanjanjem terenskih pregleda i putnih troškova, trošak pojedinačne kontrole smanjuje se za 30–40 %, uz zadržavanje potrebne razine stručne provjere.</v>
      </c>
      <c r="E16" s="8">
        <f t="shared" ref="E16:E17" si="14">AVERAGE(C12:E12)</f>
        <v>0.44285714285714284</v>
      </c>
      <c r="I16" s="8" t="str">
        <f t="shared" ref="I16:I17" si="15">G5</f>
        <v>Uklanjanjem terenskih pregleda i putnih troškova, trošak pojedinačne kontrole smanjuje se za 30–40 %, uz zadržavanje potrebne razine stručne provjere.</v>
      </c>
      <c r="J16" s="8">
        <f t="shared" ref="J16:J17" si="16">AVERAGE(H12:J12)</f>
        <v>0.33376623376623377</v>
      </c>
      <c r="N16" s="8" t="str">
        <f t="shared" ref="N16:N17" si="17">L5</f>
        <v>Uklanjanjem terenskih pregleda i putnih troškova, trošak pojedinačne kontrole smanjuje se za 30–40 %, uz zadržavanje potrebne razine stručne provjere.</v>
      </c>
      <c r="O16" s="8">
        <f t="shared" ref="O16:O17" si="18">AVERAGE(M12:O12)</f>
        <v>0.45767195767195767</v>
      </c>
      <c r="S16" s="8" t="str">
        <f t="shared" ref="S16:S17" si="19">Q5</f>
        <v>Uklanjanjem terenskih pregleda i putnih troškova, trošak pojedinačne kontrole smanjuje se za 30–40 %, uz zadržavanje potrebne razine stručne provjere.</v>
      </c>
      <c r="T16" s="11">
        <f t="shared" ref="T16:T17" si="20">AVERAGE(R12:T12)</f>
        <v>0.41068314793118593</v>
      </c>
    </row>
    <row r="17" spans="2:20" x14ac:dyDescent="0.2">
      <c r="D17" s="8" t="str">
        <f t="shared" si="13"/>
        <v>Digitalno planiranje, prijave i evidencija smanjuju operativne troškove pripreme programa za približno 20–25 % u odnosu na ručno planiranje.</v>
      </c>
      <c r="E17" s="8">
        <f t="shared" si="14"/>
        <v>0.16984126984126982</v>
      </c>
      <c r="I17" s="8" t="str">
        <f t="shared" si="15"/>
        <v>Digitalno planiranje, prijave i evidencija smanjuju operativne troškove pripreme programa za približno 20–25 % u odnosu na ručno planiranje.</v>
      </c>
      <c r="J17" s="8">
        <f t="shared" si="16"/>
        <v>0.14155844155844155</v>
      </c>
      <c r="N17" s="8" t="str">
        <f t="shared" si="17"/>
        <v>Digitalno planiranje, prijave i evidencija smanjuju operativne troškove pripreme programa za približno 20–25 % u odnosu na ručno planiranje.</v>
      </c>
      <c r="O17" s="8">
        <f t="shared" si="18"/>
        <v>0.12632275132275131</v>
      </c>
      <c r="S17" s="8" t="str">
        <f t="shared" si="19"/>
        <v>Digitalno planiranje, prijave i evidencija smanjuju operativne troškove pripreme programa za približno 20–25 % u odnosu na ručno planiranje.</v>
      </c>
      <c r="T17" s="11">
        <f t="shared" si="20"/>
        <v>0.14601340381738845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0.38730158730158726</v>
      </c>
      <c r="D21" s="8">
        <f>D4*E$16</f>
        <v>0.44285714285714284</v>
      </c>
      <c r="E21" s="8">
        <f>E4*E$17</f>
        <v>0.33968253968253964</v>
      </c>
      <c r="H21" s="8">
        <f>H4*J$15</f>
        <v>0.52467532467532474</v>
      </c>
      <c r="I21" s="8">
        <f>I4*J$16</f>
        <v>0.66753246753246753</v>
      </c>
      <c r="J21" s="8">
        <f>J4*J$17</f>
        <v>0.42467532467532465</v>
      </c>
      <c r="M21" s="8">
        <f>M4*O$15</f>
        <v>0.41600529100529099</v>
      </c>
      <c r="N21" s="8">
        <f>N4*O$16</f>
        <v>0.45767195767195767</v>
      </c>
      <c r="O21" s="8">
        <f>O4*O$17</f>
        <v>0.37896825396825395</v>
      </c>
      <c r="R21" s="8">
        <f>R4*T$15</f>
        <v>0.4433034482514257</v>
      </c>
      <c r="S21" s="8">
        <f>S4*T$16</f>
        <v>0.51742834291559126</v>
      </c>
      <c r="T21" s="8">
        <f>T4*T$17</f>
        <v>0.38266337149356922</v>
      </c>
    </row>
    <row r="22" spans="2:20" hidden="1" x14ac:dyDescent="0.2">
      <c r="C22" s="8">
        <f t="shared" ref="C22:C23" si="21">C5*E$15</f>
        <v>0.38730158730158726</v>
      </c>
      <c r="D22" s="8">
        <f t="shared" ref="D22:D23" si="22">D5*E$16</f>
        <v>0.44285714285714284</v>
      </c>
      <c r="E22" s="8">
        <f t="shared" ref="E22:E23" si="23">E5*E$17</f>
        <v>0.50952380952380949</v>
      </c>
      <c r="H22" s="8">
        <f t="shared" ref="H22:H23" si="24">H5*J$15</f>
        <v>0.26233766233766237</v>
      </c>
      <c r="I22" s="8">
        <f t="shared" ref="I22:I23" si="25">I5*J$16</f>
        <v>0.33376623376623377</v>
      </c>
      <c r="J22" s="8">
        <f t="shared" ref="J22:J23" si="26">J5*J$17</f>
        <v>0.42467532467532465</v>
      </c>
      <c r="M22" s="8">
        <f t="shared" ref="M22:M23" si="27">M5*O$15</f>
        <v>0.41600529100529099</v>
      </c>
      <c r="N22" s="8">
        <f t="shared" ref="N22:N23" si="28">N5*O$16</f>
        <v>0.45767195767195767</v>
      </c>
      <c r="O22" s="8">
        <f t="shared" ref="O22:O23" si="29">O5*O$17</f>
        <v>0.50529100529100524</v>
      </c>
      <c r="R22" s="8">
        <f t="shared" ref="R22:R23" si="30">R5*T$15</f>
        <v>0.35185018004772173</v>
      </c>
      <c r="S22" s="8">
        <f t="shared" ref="S22:S23" si="31">S5*T$16</f>
        <v>0.41068314793118593</v>
      </c>
      <c r="T22" s="8">
        <f t="shared" ref="T22:T23" si="32">T5*T$17</f>
        <v>0.48212563676848963</v>
      </c>
    </row>
    <row r="23" spans="2:20" hidden="1" x14ac:dyDescent="0.2">
      <c r="C23" s="8">
        <f t="shared" si="21"/>
        <v>0.19365079365079363</v>
      </c>
      <c r="D23" s="8">
        <f t="shared" si="22"/>
        <v>0.14761904761904759</v>
      </c>
      <c r="E23" s="8">
        <f t="shared" si="23"/>
        <v>0.16984126984126982</v>
      </c>
      <c r="H23" s="8">
        <f t="shared" si="24"/>
        <v>0.1748917748917749</v>
      </c>
      <c r="I23" s="8">
        <f t="shared" si="25"/>
        <v>0.11125541125541125</v>
      </c>
      <c r="J23" s="8">
        <f t="shared" si="26"/>
        <v>0.14155844155844155</v>
      </c>
      <c r="M23" s="8">
        <f t="shared" si="27"/>
        <v>0.13866843033509699</v>
      </c>
      <c r="N23" s="8">
        <f t="shared" si="28"/>
        <v>0.11441798941798942</v>
      </c>
      <c r="O23" s="8">
        <f t="shared" si="29"/>
        <v>0.12632275132275131</v>
      </c>
      <c r="R23" s="8">
        <f t="shared" si="30"/>
        <v>0.16915192366213697</v>
      </c>
      <c r="S23" s="8">
        <f t="shared" si="31"/>
        <v>0.12437680087248097</v>
      </c>
      <c r="T23" s="8">
        <f t="shared" si="32"/>
        <v>0.14601340381738845</v>
      </c>
    </row>
    <row r="24" spans="2:20" hidden="1" x14ac:dyDescent="0.2"/>
    <row r="25" spans="2:20" hidden="1" x14ac:dyDescent="0.2">
      <c r="C25" s="8">
        <f>SUM(C21:E21)</f>
        <v>1.1698412698412697</v>
      </c>
      <c r="D25" s="8">
        <f>SUM(C22:E22)</f>
        <v>1.3396825396825396</v>
      </c>
      <c r="E25" s="8">
        <f>SUM(C23:E23)</f>
        <v>0.51111111111111107</v>
      </c>
      <c r="H25" s="8">
        <f>SUM(H21:J21)</f>
        <v>1.616883116883117</v>
      </c>
      <c r="I25" s="8">
        <f>SUM(H22:J22)</f>
        <v>1.0207792207792208</v>
      </c>
      <c r="J25" s="8">
        <f>SUM(H23:J23)</f>
        <v>0.4277056277056277</v>
      </c>
      <c r="M25" s="8">
        <f>SUM(M21:O21)</f>
        <v>1.2526455026455026</v>
      </c>
      <c r="N25" s="8">
        <f>SUM(M22:O22)</f>
        <v>1.378968253968254</v>
      </c>
      <c r="O25" s="8">
        <f>SUM(M23:O23)</f>
        <v>0.37940917107583771</v>
      </c>
      <c r="R25" s="8">
        <f>SUM(R21:T21)</f>
        <v>1.3433951626605862</v>
      </c>
      <c r="S25" s="8">
        <f>SUM(R22:T22)</f>
        <v>1.2446589647473973</v>
      </c>
      <c r="T25" s="8">
        <f>SUM(R23:T23)</f>
        <v>0.43954212835200634</v>
      </c>
    </row>
    <row r="26" spans="2:20" hidden="1" x14ac:dyDescent="0.2"/>
    <row r="27" spans="2:20" hidden="1" x14ac:dyDescent="0.2">
      <c r="C27" s="8">
        <f>E15</f>
        <v>0.38730158730158726</v>
      </c>
      <c r="D27" s="8">
        <f>E16</f>
        <v>0.44285714285714284</v>
      </c>
      <c r="E27" s="8">
        <f>E17</f>
        <v>0.16984126984126982</v>
      </c>
      <c r="H27" s="8">
        <f>J15</f>
        <v>0.52467532467532474</v>
      </c>
      <c r="I27" s="8">
        <f>J16</f>
        <v>0.33376623376623377</v>
      </c>
      <c r="J27" s="8">
        <f>J17</f>
        <v>0.14155844155844155</v>
      </c>
      <c r="M27" s="8">
        <f>O15</f>
        <v>0.41600529100529099</v>
      </c>
      <c r="N27" s="8">
        <f>O16</f>
        <v>0.45767195767195767</v>
      </c>
      <c r="O27" s="8">
        <f>O17</f>
        <v>0.12632275132275131</v>
      </c>
      <c r="R27" s="8">
        <f>T15</f>
        <v>0.4433034482514257</v>
      </c>
      <c r="S27" s="8">
        <f>T16</f>
        <v>0.41068314793118593</v>
      </c>
      <c r="T27" s="8">
        <f>T17</f>
        <v>0.14601340381738845</v>
      </c>
    </row>
    <row r="28" spans="2:20" hidden="1" x14ac:dyDescent="0.2"/>
    <row r="29" spans="2:20" hidden="1" x14ac:dyDescent="0.2">
      <c r="C29" s="8">
        <f>C25/C27</f>
        <v>3.0204918032786883</v>
      </c>
      <c r="D29" s="8">
        <f t="shared" ref="D29:E29" si="33">D25/D27</f>
        <v>3.0250896057347672</v>
      </c>
      <c r="E29" s="8">
        <f t="shared" si="33"/>
        <v>3.0093457943925235</v>
      </c>
      <c r="H29" s="8">
        <f>H25/H27</f>
        <v>3.0816831683168315</v>
      </c>
      <c r="I29" s="8">
        <f t="shared" ref="I29:J29" si="34">I25/I27</f>
        <v>3.058365758754864</v>
      </c>
      <c r="J29" s="8">
        <f t="shared" si="34"/>
        <v>3.0214067278287464</v>
      </c>
      <c r="M29" s="8">
        <f>M25/M27</f>
        <v>3.0111287758346581</v>
      </c>
      <c r="N29" s="8">
        <f t="shared" ref="N29:O29" si="35">N25/N27</f>
        <v>3.0130057803468207</v>
      </c>
      <c r="O29" s="8">
        <f t="shared" si="35"/>
        <v>3.0034904013961605</v>
      </c>
      <c r="R29" s="8">
        <f>R25/R27</f>
        <v>3.0304189330344684</v>
      </c>
      <c r="S29" s="8">
        <f t="shared" ref="S29:T29" si="36">S25/S27</f>
        <v>3.0307037700898123</v>
      </c>
      <c r="T29" s="8">
        <f t="shared" si="36"/>
        <v>3.0102861577127493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3.0183090678019933</v>
      </c>
      <c r="I31" s="8" t="s">
        <v>20</v>
      </c>
      <c r="J31" s="8">
        <f>AVERAGE(H29:J29)</f>
        <v>3.0538185516334813</v>
      </c>
      <c r="N31" s="8" t="s">
        <v>20</v>
      </c>
      <c r="O31" s="8">
        <f>AVERAGE(M29:O29)</f>
        <v>3.0092083191925467</v>
      </c>
      <c r="S31" s="8" t="s">
        <v>20</v>
      </c>
      <c r="T31" s="8">
        <f>AVERAGE(R29:T29)</f>
        <v>3.0238029536123432</v>
      </c>
    </row>
    <row r="32" spans="2:20" hidden="1" x14ac:dyDescent="0.2">
      <c r="D32" s="8" t="s">
        <v>21</v>
      </c>
      <c r="E32" s="8">
        <f>(E31-3)/2</f>
        <v>9.1545339009966309E-3</v>
      </c>
      <c r="I32" s="8" t="s">
        <v>21</v>
      </c>
      <c r="J32" s="8">
        <f>(J31-3)/2</f>
        <v>2.690927581674063E-2</v>
      </c>
      <c r="N32" s="8" t="s">
        <v>21</v>
      </c>
      <c r="O32" s="8">
        <f>(O31-3)/2</f>
        <v>4.6041595962733606E-3</v>
      </c>
      <c r="S32" s="8" t="s">
        <v>21</v>
      </c>
      <c r="T32" s="8">
        <f>(T31-3)/2</f>
        <v>1.1901476806171596E-2</v>
      </c>
    </row>
    <row r="33" spans="4:20" x14ac:dyDescent="0.2">
      <c r="D33" s="8" t="s">
        <v>22</v>
      </c>
      <c r="E33" s="8">
        <f>E32/0.52</f>
        <v>1.760487288653198E-2</v>
      </c>
      <c r="I33" s="8" t="s">
        <v>22</v>
      </c>
      <c r="J33" s="8">
        <f>J32/0.52</f>
        <v>5.1748607339885823E-2</v>
      </c>
      <c r="N33" s="8" t="s">
        <v>22</v>
      </c>
      <c r="O33" s="8">
        <f>O32/0.52</f>
        <v>8.8541530697564628E-3</v>
      </c>
      <c r="S33" s="8" t="s">
        <v>22</v>
      </c>
      <c r="T33" s="8">
        <f>T32/0.52</f>
        <v>2.2887455396483836E-2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3726-FBFF-4C4C-A1FA-DE868B3650BE}">
  <dimension ref="B2:P12"/>
  <sheetViews>
    <sheetView workbookViewId="0">
      <selection activeCell="J20" sqref="J20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trošak</v>
      </c>
      <c r="D2" s="8" t="str">
        <f>B4</f>
        <v>ušteda</v>
      </c>
      <c r="F2" s="8"/>
      <c r="G2" s="8" t="str">
        <f>F3</f>
        <v>trošak</v>
      </c>
      <c r="H2" s="8" t="str">
        <f>F4</f>
        <v>ušteda</v>
      </c>
      <c r="J2" s="8"/>
      <c r="K2" s="8" t="str">
        <f>J3</f>
        <v>trošak</v>
      </c>
      <c r="L2" s="8" t="str">
        <f>J4</f>
        <v>ušteda</v>
      </c>
      <c r="N2" s="8"/>
      <c r="O2" s="8" t="str">
        <f>N3</f>
        <v>trošak</v>
      </c>
      <c r="P2" s="8" t="str">
        <f>N4</f>
        <v>ušteda</v>
      </c>
    </row>
    <row r="3" spans="2:16" x14ac:dyDescent="0.2">
      <c r="B3" s="9" t="s">
        <v>208</v>
      </c>
      <c r="C3" s="8">
        <v>1</v>
      </c>
      <c r="D3" s="8">
        <v>2</v>
      </c>
      <c r="F3" s="8" t="str">
        <f>B3</f>
        <v>trošak</v>
      </c>
      <c r="G3" s="8">
        <v>1</v>
      </c>
      <c r="H3" s="8">
        <v>2</v>
      </c>
      <c r="J3" s="8" t="str">
        <f>F3</f>
        <v>trošak</v>
      </c>
      <c r="K3" s="8">
        <v>1</v>
      </c>
      <c r="L3" s="8">
        <v>1</v>
      </c>
      <c r="N3" s="8" t="str">
        <f>J3</f>
        <v>trošak</v>
      </c>
      <c r="O3" s="8">
        <f>GEOMEAN(C3,G3,K3)</f>
        <v>1</v>
      </c>
      <c r="P3" s="8">
        <f>GEOMEAN(D3,H3,L3)</f>
        <v>1.5874010519681994</v>
      </c>
    </row>
    <row r="4" spans="2:16" x14ac:dyDescent="0.2">
      <c r="B4" s="9" t="s">
        <v>209</v>
      </c>
      <c r="C4" s="8">
        <f>1/2</f>
        <v>0.5</v>
      </c>
      <c r="D4" s="8">
        <v>1</v>
      </c>
      <c r="F4" s="8" t="str">
        <f>B4</f>
        <v>ušteda</v>
      </c>
      <c r="G4" s="8">
        <f>1/2</f>
        <v>0.5</v>
      </c>
      <c r="H4" s="8">
        <v>1</v>
      </c>
      <c r="J4" s="8" t="str">
        <f>F4</f>
        <v>ušteda</v>
      </c>
      <c r="K4" s="8">
        <v>1</v>
      </c>
      <c r="L4" s="8">
        <v>1</v>
      </c>
      <c r="N4" s="8" t="str">
        <f>J4</f>
        <v>ušteda</v>
      </c>
      <c r="O4" s="8">
        <f>GEOMEAN(C4,G4,K4)</f>
        <v>0.6299605249474366</v>
      </c>
      <c r="P4" s="8">
        <f>GEOMEAN(D4,H4,L4)</f>
        <v>1</v>
      </c>
    </row>
    <row r="6" spans="2:16" hidden="1" x14ac:dyDescent="0.2">
      <c r="C6">
        <f>SUM(C3:C4)</f>
        <v>1.5</v>
      </c>
      <c r="D6">
        <f>SUM(D3:D4)</f>
        <v>3</v>
      </c>
      <c r="G6">
        <f>SUM(G3:G4)</f>
        <v>1.5</v>
      </c>
      <c r="H6">
        <f>SUM(H3:H4)</f>
        <v>3</v>
      </c>
      <c r="K6">
        <f>SUM(K3:K4)</f>
        <v>2</v>
      </c>
      <c r="L6">
        <f>SUM(L3:L4)</f>
        <v>2</v>
      </c>
      <c r="O6">
        <f>SUM(O3:O4)</f>
        <v>1.6299605249474367</v>
      </c>
      <c r="P6">
        <f>SUM(P3:P4)</f>
        <v>2.5874010519681994</v>
      </c>
    </row>
    <row r="7" spans="2:16" hidden="1" x14ac:dyDescent="0.2"/>
    <row r="8" spans="2:16" hidden="1" x14ac:dyDescent="0.2">
      <c r="C8" s="8">
        <f>C3/C$6</f>
        <v>0.66666666666666663</v>
      </c>
      <c r="D8" s="8">
        <f>D3/D$6</f>
        <v>0.66666666666666663</v>
      </c>
      <c r="G8" s="8">
        <f>G3/G$6</f>
        <v>0.66666666666666663</v>
      </c>
      <c r="H8" s="8">
        <f>H3/H$6</f>
        <v>0.66666666666666663</v>
      </c>
      <c r="K8" s="8">
        <f>K3/K$6</f>
        <v>0.5</v>
      </c>
      <c r="L8" s="8">
        <f>L3/L$6</f>
        <v>0.5</v>
      </c>
      <c r="O8" s="8">
        <f>O3/O$6</f>
        <v>0.6135117904356906</v>
      </c>
      <c r="P8" s="8">
        <f>P3/P$6</f>
        <v>0.6135117904356906</v>
      </c>
    </row>
    <row r="9" spans="2:16" hidden="1" x14ac:dyDescent="0.2">
      <c r="C9" s="8">
        <f>C4/C$6</f>
        <v>0.33333333333333331</v>
      </c>
      <c r="D9" s="8">
        <f>D4/D$6</f>
        <v>0.33333333333333331</v>
      </c>
      <c r="G9" s="8">
        <f>G4/G$6</f>
        <v>0.33333333333333331</v>
      </c>
      <c r="H9" s="8">
        <f>H4/H$6</f>
        <v>0.33333333333333331</v>
      </c>
      <c r="K9" s="8">
        <f>K4/K$6</f>
        <v>0.5</v>
      </c>
      <c r="L9" s="8">
        <f>L4/L$6</f>
        <v>0.5</v>
      </c>
      <c r="O9" s="8">
        <f>O4/O$6</f>
        <v>0.38648820956430935</v>
      </c>
      <c r="P9" s="8">
        <f>P4/P$6</f>
        <v>0.3864882095643094</v>
      </c>
    </row>
    <row r="10" spans="2:16" hidden="1" x14ac:dyDescent="0.2"/>
    <row r="11" spans="2:16" x14ac:dyDescent="0.2">
      <c r="C11" s="8" t="str">
        <f>B3</f>
        <v>trošak</v>
      </c>
      <c r="D11" s="8">
        <f>AVERAGE(C8:D8)</f>
        <v>0.66666666666666663</v>
      </c>
      <c r="G11" s="8" t="str">
        <f>F3</f>
        <v>trošak</v>
      </c>
      <c r="H11" s="8">
        <f>AVERAGE(G8:H8)</f>
        <v>0.66666666666666663</v>
      </c>
      <c r="K11" s="8" t="str">
        <f>J3</f>
        <v>trošak</v>
      </c>
      <c r="L11" s="8">
        <f>AVERAGE(K8:L8)</f>
        <v>0.5</v>
      </c>
      <c r="O11" s="8" t="str">
        <f>N3</f>
        <v>trošak</v>
      </c>
      <c r="P11" s="11">
        <f>AVERAGE(O8:P8)</f>
        <v>0.6135117904356906</v>
      </c>
    </row>
    <row r="12" spans="2:16" x14ac:dyDescent="0.2">
      <c r="C12" s="8" t="str">
        <f>B4</f>
        <v>ušteda</v>
      </c>
      <c r="D12" s="8">
        <f>AVERAGE(C9:D9)</f>
        <v>0.33333333333333331</v>
      </c>
      <c r="G12" s="8" t="str">
        <f>F4</f>
        <v>ušteda</v>
      </c>
      <c r="H12" s="8">
        <f>AVERAGE(G9:H9)</f>
        <v>0.33333333333333331</v>
      </c>
      <c r="K12" s="8" t="str">
        <f>J4</f>
        <v>ušteda</v>
      </c>
      <c r="L12" s="8">
        <f>AVERAGE(K9:L9)</f>
        <v>0.5</v>
      </c>
      <c r="O12" s="8" t="str">
        <f>N4</f>
        <v>ušteda</v>
      </c>
      <c r="P12" s="11">
        <f>AVERAGE(O9:P9)</f>
        <v>0.3864882095643094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23BE-7F39-BF47-8ECB-808DF21B7E00}">
  <dimension ref="B2:P12"/>
  <sheetViews>
    <sheetView workbookViewId="0">
      <selection activeCell="J20" sqref="J20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točnost</v>
      </c>
      <c r="D2" s="8" t="str">
        <f>B4</f>
        <v>pogreške</v>
      </c>
      <c r="F2" s="8"/>
      <c r="G2" s="8" t="str">
        <f>F3</f>
        <v>točnost</v>
      </c>
      <c r="H2" s="8" t="str">
        <f>F4</f>
        <v>pogreške</v>
      </c>
      <c r="J2" s="8"/>
      <c r="K2" s="8" t="str">
        <f>J3</f>
        <v>točnost</v>
      </c>
      <c r="L2" s="8" t="str">
        <f>J4</f>
        <v>pogreške</v>
      </c>
      <c r="N2" s="8"/>
      <c r="O2" s="8" t="str">
        <f>N3</f>
        <v>točnost</v>
      </c>
      <c r="P2" s="8" t="str">
        <f>N4</f>
        <v>pogreške</v>
      </c>
    </row>
    <row r="3" spans="2:16" x14ac:dyDescent="0.2">
      <c r="B3" s="9" t="s">
        <v>210</v>
      </c>
      <c r="C3" s="8">
        <v>1</v>
      </c>
      <c r="D3" s="8">
        <v>2</v>
      </c>
      <c r="F3" s="8" t="str">
        <f>B3</f>
        <v>točnost</v>
      </c>
      <c r="G3" s="8">
        <v>1</v>
      </c>
      <c r="H3" s="8">
        <v>1</v>
      </c>
      <c r="J3" s="8" t="str">
        <f>F3</f>
        <v>točnost</v>
      </c>
      <c r="K3" s="8">
        <v>1</v>
      </c>
      <c r="L3" s="8">
        <f>1/2</f>
        <v>0.5</v>
      </c>
      <c r="N3" s="8" t="str">
        <f>J3</f>
        <v>točnost</v>
      </c>
      <c r="O3" s="8">
        <f>GEOMEAN(C3,G3,K3)</f>
        <v>1</v>
      </c>
      <c r="P3" s="8">
        <f>GEOMEAN(D3,H3,L3)</f>
        <v>1</v>
      </c>
    </row>
    <row r="4" spans="2:16" x14ac:dyDescent="0.2">
      <c r="B4" s="9" t="s">
        <v>211</v>
      </c>
      <c r="C4" s="8">
        <f>1/2</f>
        <v>0.5</v>
      </c>
      <c r="D4" s="8">
        <v>1</v>
      </c>
      <c r="F4" s="8" t="str">
        <f>B4</f>
        <v>pogreške</v>
      </c>
      <c r="G4" s="8">
        <v>1</v>
      </c>
      <c r="H4" s="8">
        <v>1</v>
      </c>
      <c r="J4" s="8" t="str">
        <f>F4</f>
        <v>pogreške</v>
      </c>
      <c r="K4" s="8">
        <v>2</v>
      </c>
      <c r="L4" s="8">
        <v>1</v>
      </c>
      <c r="N4" s="8" t="str">
        <f>J4</f>
        <v>pogreške</v>
      </c>
      <c r="O4" s="8">
        <f>GEOMEAN(C4,G4,K4)</f>
        <v>1</v>
      </c>
      <c r="P4" s="8">
        <f>GEOMEAN(D4,H4,L4)</f>
        <v>1</v>
      </c>
    </row>
    <row r="6" spans="2:16" hidden="1" x14ac:dyDescent="0.2">
      <c r="C6">
        <f>SUM(C3:C4)</f>
        <v>1.5</v>
      </c>
      <c r="D6">
        <f>SUM(D3:D4)</f>
        <v>3</v>
      </c>
      <c r="G6">
        <f>SUM(G3:G4)</f>
        <v>2</v>
      </c>
      <c r="H6">
        <f>SUM(H3:H4)</f>
        <v>2</v>
      </c>
      <c r="K6">
        <f>SUM(K3:K4)</f>
        <v>3</v>
      </c>
      <c r="L6">
        <f>SUM(L3:L4)</f>
        <v>1.5</v>
      </c>
      <c r="O6">
        <f>SUM(O3:O4)</f>
        <v>2</v>
      </c>
      <c r="P6">
        <f>SUM(P3:P4)</f>
        <v>2</v>
      </c>
    </row>
    <row r="7" spans="2:16" hidden="1" x14ac:dyDescent="0.2"/>
    <row r="8" spans="2:16" hidden="1" x14ac:dyDescent="0.2">
      <c r="C8" s="8">
        <f>C3/C$6</f>
        <v>0.66666666666666663</v>
      </c>
      <c r="D8" s="8">
        <f>D3/D$6</f>
        <v>0.66666666666666663</v>
      </c>
      <c r="G8" s="8">
        <f>G3/G$6</f>
        <v>0.5</v>
      </c>
      <c r="H8" s="8">
        <f>H3/H$6</f>
        <v>0.5</v>
      </c>
      <c r="K8" s="8">
        <f>K3/K$6</f>
        <v>0.33333333333333331</v>
      </c>
      <c r="L8" s="8">
        <f>L3/L$6</f>
        <v>0.33333333333333331</v>
      </c>
      <c r="O8" s="8">
        <f>O3/O$6</f>
        <v>0.5</v>
      </c>
      <c r="P8" s="8">
        <f>P3/P$6</f>
        <v>0.5</v>
      </c>
    </row>
    <row r="9" spans="2:16" hidden="1" x14ac:dyDescent="0.2">
      <c r="C9" s="8">
        <f>C4/C$6</f>
        <v>0.33333333333333331</v>
      </c>
      <c r="D9" s="8">
        <f>D4/D$6</f>
        <v>0.33333333333333331</v>
      </c>
      <c r="G9" s="8">
        <f>G4/G$6</f>
        <v>0.5</v>
      </c>
      <c r="H9" s="8">
        <f>H4/H$6</f>
        <v>0.5</v>
      </c>
      <c r="K9" s="8">
        <f>K4/K$6</f>
        <v>0.66666666666666663</v>
      </c>
      <c r="L9" s="8">
        <f>L4/L$6</f>
        <v>0.66666666666666663</v>
      </c>
      <c r="O9" s="8">
        <f>O4/O$6</f>
        <v>0.5</v>
      </c>
      <c r="P9" s="8">
        <f>P4/P$6</f>
        <v>0.5</v>
      </c>
    </row>
    <row r="10" spans="2:16" hidden="1" x14ac:dyDescent="0.2"/>
    <row r="11" spans="2:16" x14ac:dyDescent="0.2">
      <c r="C11" s="8" t="str">
        <f>B3</f>
        <v>točnost</v>
      </c>
      <c r="D11" s="8">
        <f>AVERAGE(C8:D8)</f>
        <v>0.66666666666666663</v>
      </c>
      <c r="G11" s="8" t="str">
        <f>F3</f>
        <v>točnost</v>
      </c>
      <c r="H11" s="8">
        <f>AVERAGE(G8:H8)</f>
        <v>0.5</v>
      </c>
      <c r="K11" s="8" t="str">
        <f>J3</f>
        <v>točnost</v>
      </c>
      <c r="L11" s="8">
        <f>AVERAGE(K8:L8)</f>
        <v>0.33333333333333331</v>
      </c>
      <c r="O11" s="8" t="str">
        <f>N3</f>
        <v>točnost</v>
      </c>
      <c r="P11" s="11">
        <f>AVERAGE(O8:P8)</f>
        <v>0.5</v>
      </c>
    </row>
    <row r="12" spans="2:16" x14ac:dyDescent="0.2">
      <c r="C12" s="8" t="str">
        <f>B4</f>
        <v>pogreške</v>
      </c>
      <c r="D12" s="8">
        <f>AVERAGE(C9:D9)</f>
        <v>0.33333333333333331</v>
      </c>
      <c r="G12" s="8" t="str">
        <f>F4</f>
        <v>pogreške</v>
      </c>
      <c r="H12" s="8">
        <f>AVERAGE(G9:H9)</f>
        <v>0.5</v>
      </c>
      <c r="K12" s="8" t="str">
        <f>J4</f>
        <v>pogreške</v>
      </c>
      <c r="L12" s="8">
        <f>AVERAGE(K9:L9)</f>
        <v>0.66666666666666663</v>
      </c>
      <c r="O12" s="8" t="str">
        <f>N4</f>
        <v>pogreške</v>
      </c>
      <c r="P12" s="11">
        <f>AVERAGE(O9:P9)</f>
        <v>0.5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F3FA-7043-2145-874E-E7F322F9666F}">
  <dimension ref="B2:P12"/>
  <sheetViews>
    <sheetView workbookViewId="0">
      <selection activeCell="J20" sqref="J20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trajanje</v>
      </c>
      <c r="D2" s="8" t="str">
        <f>B4</f>
        <v>automatizacija</v>
      </c>
      <c r="F2" s="8"/>
      <c r="G2" s="8" t="str">
        <f>F3</f>
        <v>trajanje</v>
      </c>
      <c r="H2" s="8" t="str">
        <f>F4</f>
        <v>automatizacija</v>
      </c>
      <c r="J2" s="8"/>
      <c r="K2" s="8" t="str">
        <f>J3</f>
        <v>trajanje</v>
      </c>
      <c r="L2" s="8" t="str">
        <f>J4</f>
        <v>automatizacija</v>
      </c>
      <c r="N2" s="8"/>
      <c r="O2" s="8" t="str">
        <f>N3</f>
        <v>trajanje</v>
      </c>
      <c r="P2" s="8" t="str">
        <f>N4</f>
        <v>automatizacija</v>
      </c>
    </row>
    <row r="3" spans="2:16" x14ac:dyDescent="0.2">
      <c r="B3" s="9" t="s">
        <v>212</v>
      </c>
      <c r="C3" s="8">
        <v>1</v>
      </c>
      <c r="D3" s="8">
        <v>2</v>
      </c>
      <c r="F3" s="8" t="str">
        <f>B3</f>
        <v>trajanje</v>
      </c>
      <c r="G3" s="8">
        <v>1</v>
      </c>
      <c r="H3" s="8">
        <v>3</v>
      </c>
      <c r="J3" s="8" t="str">
        <f>F3</f>
        <v>trajanje</v>
      </c>
      <c r="K3" s="8">
        <v>1</v>
      </c>
      <c r="L3" s="8">
        <f>1/3</f>
        <v>0.33333333333333331</v>
      </c>
      <c r="N3" s="8" t="str">
        <f>J3</f>
        <v>trajanje</v>
      </c>
      <c r="O3" s="8">
        <f>GEOMEAN(C3,G3,K3)</f>
        <v>1</v>
      </c>
      <c r="P3" s="8">
        <f>GEOMEAN(D3,H3,L3)</f>
        <v>1.2599210498948732</v>
      </c>
    </row>
    <row r="4" spans="2:16" x14ac:dyDescent="0.2">
      <c r="B4" s="9" t="s">
        <v>213</v>
      </c>
      <c r="C4" s="8">
        <f>1/2</f>
        <v>0.5</v>
      </c>
      <c r="D4" s="8">
        <v>1</v>
      </c>
      <c r="F4" s="8" t="str">
        <f>B4</f>
        <v>automatizacija</v>
      </c>
      <c r="G4" s="8">
        <f>1/3</f>
        <v>0.33333333333333331</v>
      </c>
      <c r="H4" s="8">
        <v>1</v>
      </c>
      <c r="J4" s="8" t="str">
        <f>F4</f>
        <v>automatizacija</v>
      </c>
      <c r="K4" s="8">
        <v>3</v>
      </c>
      <c r="L4" s="8">
        <v>1</v>
      </c>
      <c r="N4" s="8" t="str">
        <f>J4</f>
        <v>automatizacija</v>
      </c>
      <c r="O4" s="8">
        <f>GEOMEAN(C4,G4,K4)</f>
        <v>0.79370052598409979</v>
      </c>
      <c r="P4" s="8">
        <f>GEOMEAN(D4,H4,L4)</f>
        <v>1</v>
      </c>
    </row>
    <row r="6" spans="2:16" hidden="1" x14ac:dyDescent="0.2">
      <c r="C6">
        <f>SUM(C3:C4)</f>
        <v>1.5</v>
      </c>
      <c r="D6">
        <f>SUM(D3:D4)</f>
        <v>3</v>
      </c>
      <c r="G6">
        <f>SUM(G3:G4)</f>
        <v>1.3333333333333333</v>
      </c>
      <c r="H6">
        <f>SUM(H3:H4)</f>
        <v>4</v>
      </c>
      <c r="K6">
        <f>SUM(K3:K4)</f>
        <v>4</v>
      </c>
      <c r="L6">
        <f>SUM(L3:L4)</f>
        <v>1.3333333333333333</v>
      </c>
      <c r="O6">
        <f>SUM(O3:O4)</f>
        <v>1.7937005259840997</v>
      </c>
      <c r="P6">
        <f>SUM(P3:P4)</f>
        <v>2.2599210498948734</v>
      </c>
    </row>
    <row r="7" spans="2:16" hidden="1" x14ac:dyDescent="0.2"/>
    <row r="8" spans="2:16" hidden="1" x14ac:dyDescent="0.2">
      <c r="C8" s="8">
        <f>C3/C$6</f>
        <v>0.66666666666666663</v>
      </c>
      <c r="D8" s="8">
        <f>D3/D$6</f>
        <v>0.66666666666666663</v>
      </c>
      <c r="G8" s="8">
        <f>G3/G$6</f>
        <v>0.75</v>
      </c>
      <c r="H8" s="8">
        <f>H3/H$6</f>
        <v>0.75</v>
      </c>
      <c r="K8" s="8">
        <f>K3/K$6</f>
        <v>0.25</v>
      </c>
      <c r="L8" s="8">
        <f>L3/L$6</f>
        <v>0.25</v>
      </c>
      <c r="O8" s="8">
        <f>O3/O$6</f>
        <v>0.55750666597555787</v>
      </c>
      <c r="P8" s="8">
        <f>P3/P$6</f>
        <v>0.55750666597555787</v>
      </c>
    </row>
    <row r="9" spans="2:16" hidden="1" x14ac:dyDescent="0.2">
      <c r="C9" s="8">
        <f>C4/C$6</f>
        <v>0.33333333333333331</v>
      </c>
      <c r="D9" s="8">
        <f>D4/D$6</f>
        <v>0.33333333333333331</v>
      </c>
      <c r="G9" s="8">
        <f>G4/G$6</f>
        <v>0.25</v>
      </c>
      <c r="H9" s="8">
        <f>H4/H$6</f>
        <v>0.25</v>
      </c>
      <c r="K9" s="8">
        <f>K4/K$6</f>
        <v>0.75</v>
      </c>
      <c r="L9" s="8">
        <f>L4/L$6</f>
        <v>0.75</v>
      </c>
      <c r="O9" s="8">
        <f>O4/O$6</f>
        <v>0.44249333402444213</v>
      </c>
      <c r="P9" s="8">
        <f>P4/P$6</f>
        <v>0.44249333402444208</v>
      </c>
    </row>
    <row r="10" spans="2:16" hidden="1" x14ac:dyDescent="0.2"/>
    <row r="11" spans="2:16" x14ac:dyDescent="0.2">
      <c r="C11" s="8" t="str">
        <f>B3</f>
        <v>trajanje</v>
      </c>
      <c r="D11" s="8">
        <f>AVERAGE(C8:D8)</f>
        <v>0.66666666666666663</v>
      </c>
      <c r="G11" s="8" t="str">
        <f>F3</f>
        <v>trajanje</v>
      </c>
      <c r="H11" s="8">
        <f>AVERAGE(G8:H8)</f>
        <v>0.75</v>
      </c>
      <c r="K11" s="8" t="str">
        <f>J3</f>
        <v>trajanje</v>
      </c>
      <c r="L11" s="8">
        <f>AVERAGE(K8:L8)</f>
        <v>0.25</v>
      </c>
      <c r="O11" s="8" t="str">
        <f>N3</f>
        <v>trajanje</v>
      </c>
      <c r="P11" s="11">
        <f>AVERAGE(O8:P8)</f>
        <v>0.55750666597555787</v>
      </c>
    </row>
    <row r="12" spans="2:16" x14ac:dyDescent="0.2">
      <c r="C12" s="8" t="str">
        <f>B4</f>
        <v>automatizacija</v>
      </c>
      <c r="D12" s="8">
        <f>AVERAGE(C9:D9)</f>
        <v>0.33333333333333331</v>
      </c>
      <c r="G12" s="8" t="str">
        <f>F4</f>
        <v>automatizacija</v>
      </c>
      <c r="H12" s="8">
        <f>AVERAGE(G9:H9)</f>
        <v>0.25</v>
      </c>
      <c r="K12" s="8" t="str">
        <f>J4</f>
        <v>automatizacija</v>
      </c>
      <c r="L12" s="8">
        <f>AVERAGE(K9:L9)</f>
        <v>0.75</v>
      </c>
      <c r="O12" s="8" t="str">
        <f>N4</f>
        <v>automatizacija</v>
      </c>
      <c r="P12" s="11">
        <f>AVERAGE(O9:P9)</f>
        <v>0.44249333402444213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ED62-241A-9843-9D61-F4684416F73B}">
  <dimension ref="B2:P12"/>
  <sheetViews>
    <sheetView workbookViewId="0">
      <selection activeCell="J20" sqref="J20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ručne op</v>
      </c>
      <c r="D2" s="8" t="str">
        <f>B4</f>
        <v>br ljudi</v>
      </c>
      <c r="F2" s="8"/>
      <c r="G2" s="8" t="str">
        <f>F3</f>
        <v>ručne op</v>
      </c>
      <c r="H2" s="8" t="str">
        <f>F4</f>
        <v>br ljudi</v>
      </c>
      <c r="J2" s="8"/>
      <c r="K2" s="8" t="str">
        <f>J3</f>
        <v>ručne op</v>
      </c>
      <c r="L2" s="8" t="str">
        <f>J4</f>
        <v>br ljudi</v>
      </c>
      <c r="N2" s="8"/>
      <c r="O2" s="8" t="str">
        <f>N3</f>
        <v>ručne op</v>
      </c>
      <c r="P2" s="8" t="str">
        <f>N4</f>
        <v>br ljudi</v>
      </c>
    </row>
    <row r="3" spans="2:16" x14ac:dyDescent="0.2">
      <c r="B3" s="9" t="s">
        <v>214</v>
      </c>
      <c r="C3" s="8">
        <v>1</v>
      </c>
      <c r="D3" s="8">
        <v>4</v>
      </c>
      <c r="F3" s="8" t="str">
        <f>B3</f>
        <v>ručne op</v>
      </c>
      <c r="G3" s="8">
        <v>1</v>
      </c>
      <c r="H3" s="8">
        <f>1/2</f>
        <v>0.5</v>
      </c>
      <c r="J3" s="8" t="str">
        <f>F3</f>
        <v>ručne op</v>
      </c>
      <c r="K3" s="8">
        <v>1</v>
      </c>
      <c r="L3" s="8">
        <v>2</v>
      </c>
      <c r="N3" s="8" t="str">
        <f>J3</f>
        <v>ručne op</v>
      </c>
      <c r="O3" s="8">
        <f>GEOMEAN(C3,G3,K3)</f>
        <v>1</v>
      </c>
      <c r="P3" s="8">
        <f>GEOMEAN(D3,H3,L3)</f>
        <v>1.5874010519681994</v>
      </c>
    </row>
    <row r="4" spans="2:16" x14ac:dyDescent="0.2">
      <c r="B4" s="9" t="s">
        <v>215</v>
      </c>
      <c r="C4" s="8">
        <f>1/4</f>
        <v>0.25</v>
      </c>
      <c r="D4" s="8">
        <v>1</v>
      </c>
      <c r="F4" s="8" t="str">
        <f>B4</f>
        <v>br ljudi</v>
      </c>
      <c r="G4" s="8">
        <v>2</v>
      </c>
      <c r="H4" s="8">
        <v>1</v>
      </c>
      <c r="J4" s="8" t="str">
        <f>F4</f>
        <v>br ljudi</v>
      </c>
      <c r="K4" s="8">
        <f>1/2</f>
        <v>0.5</v>
      </c>
      <c r="L4" s="8">
        <v>1</v>
      </c>
      <c r="N4" s="8" t="str">
        <f>J4</f>
        <v>br ljudi</v>
      </c>
      <c r="O4" s="8">
        <f>GEOMEAN(C4,G4,K4)</f>
        <v>0.6299605249474366</v>
      </c>
      <c r="P4" s="8">
        <f>GEOMEAN(D4,H4,L4)</f>
        <v>1</v>
      </c>
    </row>
    <row r="6" spans="2:16" hidden="1" x14ac:dyDescent="0.2">
      <c r="C6">
        <f>SUM(C3:C4)</f>
        <v>1.25</v>
      </c>
      <c r="D6">
        <f>SUM(D3:D4)</f>
        <v>5</v>
      </c>
      <c r="G6">
        <f>SUM(G3:G4)</f>
        <v>3</v>
      </c>
      <c r="H6">
        <f>SUM(H3:H4)</f>
        <v>1.5</v>
      </c>
      <c r="K6">
        <f>SUM(K3:K4)</f>
        <v>1.5</v>
      </c>
      <c r="L6">
        <f>SUM(L3:L4)</f>
        <v>3</v>
      </c>
      <c r="O6">
        <f>SUM(O3:O4)</f>
        <v>1.6299605249474367</v>
      </c>
      <c r="P6">
        <f>SUM(P3:P4)</f>
        <v>2.5874010519681994</v>
      </c>
    </row>
    <row r="7" spans="2:16" hidden="1" x14ac:dyDescent="0.2"/>
    <row r="8" spans="2:16" hidden="1" x14ac:dyDescent="0.2">
      <c r="C8" s="8">
        <f>C3/C$6</f>
        <v>0.8</v>
      </c>
      <c r="D8" s="8">
        <f>D3/D$6</f>
        <v>0.8</v>
      </c>
      <c r="G8" s="8">
        <f>G3/G$6</f>
        <v>0.33333333333333331</v>
      </c>
      <c r="H8" s="8">
        <f>H3/H$6</f>
        <v>0.33333333333333331</v>
      </c>
      <c r="K8" s="8">
        <f>K3/K$6</f>
        <v>0.66666666666666663</v>
      </c>
      <c r="L8" s="8">
        <f>L3/L$6</f>
        <v>0.66666666666666663</v>
      </c>
      <c r="O8" s="8">
        <f>O3/O$6</f>
        <v>0.6135117904356906</v>
      </c>
      <c r="P8" s="8">
        <f>P3/P$6</f>
        <v>0.6135117904356906</v>
      </c>
    </row>
    <row r="9" spans="2:16" hidden="1" x14ac:dyDescent="0.2">
      <c r="C9" s="8">
        <f>C4/C$6</f>
        <v>0.2</v>
      </c>
      <c r="D9" s="8">
        <f>D4/D$6</f>
        <v>0.2</v>
      </c>
      <c r="G9" s="8">
        <f>G4/G$6</f>
        <v>0.66666666666666663</v>
      </c>
      <c r="H9" s="8">
        <f>H4/H$6</f>
        <v>0.66666666666666663</v>
      </c>
      <c r="K9" s="8">
        <f>K4/K$6</f>
        <v>0.33333333333333331</v>
      </c>
      <c r="L9" s="8">
        <f>L4/L$6</f>
        <v>0.33333333333333331</v>
      </c>
      <c r="O9" s="8">
        <f>O4/O$6</f>
        <v>0.38648820956430935</v>
      </c>
      <c r="P9" s="8">
        <f>P4/P$6</f>
        <v>0.3864882095643094</v>
      </c>
    </row>
    <row r="10" spans="2:16" hidden="1" x14ac:dyDescent="0.2"/>
    <row r="11" spans="2:16" x14ac:dyDescent="0.2">
      <c r="C11" s="8" t="str">
        <f>B3</f>
        <v>ručne op</v>
      </c>
      <c r="D11" s="8">
        <f>AVERAGE(C8:D8)</f>
        <v>0.8</v>
      </c>
      <c r="G11" s="8" t="str">
        <f>F3</f>
        <v>ručne op</v>
      </c>
      <c r="H11" s="8">
        <f>AVERAGE(G8:H8)</f>
        <v>0.33333333333333331</v>
      </c>
      <c r="K11" s="8" t="str">
        <f>J3</f>
        <v>ručne op</v>
      </c>
      <c r="L11" s="8">
        <f>AVERAGE(K8:L8)</f>
        <v>0.66666666666666663</v>
      </c>
      <c r="O11" s="8" t="str">
        <f>N3</f>
        <v>ručne op</v>
      </c>
      <c r="P11" s="11">
        <f>AVERAGE(O8:P8)</f>
        <v>0.6135117904356906</v>
      </c>
    </row>
    <row r="12" spans="2:16" x14ac:dyDescent="0.2">
      <c r="C12" s="8" t="str">
        <f>B4</f>
        <v>br ljudi</v>
      </c>
      <c r="D12" s="8">
        <f>AVERAGE(C9:D9)</f>
        <v>0.2</v>
      </c>
      <c r="G12" s="8" t="str">
        <f>F4</f>
        <v>br ljudi</v>
      </c>
      <c r="H12" s="8">
        <f>AVERAGE(G9:H9)</f>
        <v>0.66666666666666663</v>
      </c>
      <c r="K12" s="8" t="str">
        <f>J4</f>
        <v>br ljudi</v>
      </c>
      <c r="L12" s="8">
        <f>AVERAGE(K9:L9)</f>
        <v>0.33333333333333331</v>
      </c>
      <c r="O12" s="8" t="str">
        <f>N4</f>
        <v>br ljudi</v>
      </c>
      <c r="P12" s="11">
        <f>AVERAGE(O9:P9)</f>
        <v>0.3864882095643094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46CC-0DCD-C24E-98D4-6E75FBC1E011}">
  <dimension ref="B2:P12"/>
  <sheetViews>
    <sheetView workbookViewId="0">
      <selection activeCell="J20" sqref="J20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transparentnost</v>
      </c>
      <c r="D2" s="8" t="str">
        <f>B4</f>
        <v>komunikacija</v>
      </c>
      <c r="F2" s="8"/>
      <c r="G2" s="8" t="str">
        <f>F3</f>
        <v>transparentnost</v>
      </c>
      <c r="H2" s="8" t="str">
        <f>F4</f>
        <v>komunikacija</v>
      </c>
      <c r="J2" s="8"/>
      <c r="K2" s="8" t="str">
        <f>J3</f>
        <v>transparentnost</v>
      </c>
      <c r="L2" s="8" t="str">
        <f>J4</f>
        <v>komunikacija</v>
      </c>
      <c r="N2" s="8"/>
      <c r="O2" s="8" t="str">
        <f>N3</f>
        <v>transparentnost</v>
      </c>
      <c r="P2" s="8" t="str">
        <f>N4</f>
        <v>komunikacija</v>
      </c>
    </row>
    <row r="3" spans="2:16" x14ac:dyDescent="0.2">
      <c r="B3" s="9" t="s">
        <v>216</v>
      </c>
      <c r="C3" s="8">
        <v>1</v>
      </c>
      <c r="D3" s="8">
        <f>1/2</f>
        <v>0.5</v>
      </c>
      <c r="F3" s="8" t="str">
        <f>B3</f>
        <v>transparentnost</v>
      </c>
      <c r="G3" s="8">
        <v>1</v>
      </c>
      <c r="H3" s="8">
        <v>1</v>
      </c>
      <c r="J3" s="8" t="str">
        <f>F3</f>
        <v>transparentnost</v>
      </c>
      <c r="K3" s="8">
        <v>1</v>
      </c>
      <c r="L3" s="8">
        <v>3</v>
      </c>
      <c r="N3" s="8" t="str">
        <f>J3</f>
        <v>transparentnost</v>
      </c>
      <c r="O3" s="8">
        <f>GEOMEAN(C3,G3,K3)</f>
        <v>1</v>
      </c>
      <c r="P3" s="8">
        <f>GEOMEAN(D3,H3,L3)</f>
        <v>1.1447142425533319</v>
      </c>
    </row>
    <row r="4" spans="2:16" x14ac:dyDescent="0.2">
      <c r="B4" s="9" t="s">
        <v>217</v>
      </c>
      <c r="C4" s="8">
        <v>2</v>
      </c>
      <c r="D4" s="8">
        <v>1</v>
      </c>
      <c r="F4" s="8" t="str">
        <f>B4</f>
        <v>komunikacija</v>
      </c>
      <c r="G4" s="8">
        <v>1</v>
      </c>
      <c r="H4" s="8">
        <v>1</v>
      </c>
      <c r="J4" s="8" t="str">
        <f>F4</f>
        <v>komunikacija</v>
      </c>
      <c r="K4" s="8">
        <f>1/3</f>
        <v>0.33333333333333331</v>
      </c>
      <c r="L4" s="8">
        <v>1</v>
      </c>
      <c r="N4" s="8" t="str">
        <f>J4</f>
        <v>komunikacija</v>
      </c>
      <c r="O4" s="8">
        <f>GEOMEAN(C4,G4,K4)</f>
        <v>0.87358046473629891</v>
      </c>
      <c r="P4" s="8">
        <f>GEOMEAN(D4,H4,L4)</f>
        <v>1</v>
      </c>
    </row>
    <row r="6" spans="2:16" hidden="1" x14ac:dyDescent="0.2">
      <c r="C6">
        <f>SUM(C3:C4)</f>
        <v>3</v>
      </c>
      <c r="D6">
        <f>SUM(D3:D4)</f>
        <v>1.5</v>
      </c>
      <c r="G6">
        <f>SUM(G3:G4)</f>
        <v>2</v>
      </c>
      <c r="H6">
        <f>SUM(H3:H4)</f>
        <v>2</v>
      </c>
      <c r="K6">
        <f>SUM(K3:K4)</f>
        <v>1.3333333333333333</v>
      </c>
      <c r="L6">
        <f>SUM(L3:L4)</f>
        <v>4</v>
      </c>
      <c r="O6">
        <f>SUM(O3:O4)</f>
        <v>1.8735804647362988</v>
      </c>
      <c r="P6">
        <f>SUM(P3:P4)</f>
        <v>2.1447142425533317</v>
      </c>
    </row>
    <row r="7" spans="2:16" hidden="1" x14ac:dyDescent="0.2"/>
    <row r="8" spans="2:16" hidden="1" x14ac:dyDescent="0.2">
      <c r="C8" s="8">
        <f>C3/C$6</f>
        <v>0.33333333333333331</v>
      </c>
      <c r="D8" s="8">
        <f>D3/D$6</f>
        <v>0.33333333333333331</v>
      </c>
      <c r="G8" s="8">
        <f>G3/G$6</f>
        <v>0.5</v>
      </c>
      <c r="H8" s="8">
        <f>H3/H$6</f>
        <v>0.5</v>
      </c>
      <c r="K8" s="8">
        <f>K3/K$6</f>
        <v>0.75</v>
      </c>
      <c r="L8" s="8">
        <f>L3/L$6</f>
        <v>0.75</v>
      </c>
      <c r="O8" s="8">
        <f>O3/O$6</f>
        <v>0.53373741817955345</v>
      </c>
      <c r="P8" s="8">
        <f>P3/P$6</f>
        <v>0.53373741817955345</v>
      </c>
    </row>
    <row r="9" spans="2:16" hidden="1" x14ac:dyDescent="0.2">
      <c r="C9" s="8">
        <f>C4/C$6</f>
        <v>0.66666666666666663</v>
      </c>
      <c r="D9" s="8">
        <f>D4/D$6</f>
        <v>0.66666666666666663</v>
      </c>
      <c r="G9" s="8">
        <f>G4/G$6</f>
        <v>0.5</v>
      </c>
      <c r="H9" s="8">
        <f>H4/H$6</f>
        <v>0.5</v>
      </c>
      <c r="K9" s="8">
        <f>K4/K$6</f>
        <v>0.25</v>
      </c>
      <c r="L9" s="8">
        <f>L4/L$6</f>
        <v>0.25</v>
      </c>
      <c r="O9" s="8">
        <f>O4/O$6</f>
        <v>0.46626258182044661</v>
      </c>
      <c r="P9" s="8">
        <f>P4/P$6</f>
        <v>0.46626258182044661</v>
      </c>
    </row>
    <row r="10" spans="2:16" hidden="1" x14ac:dyDescent="0.2"/>
    <row r="11" spans="2:16" x14ac:dyDescent="0.2">
      <c r="C11" s="8" t="str">
        <f>B3</f>
        <v>transparentnost</v>
      </c>
      <c r="D11" s="8">
        <f>AVERAGE(C8:D8)</f>
        <v>0.33333333333333331</v>
      </c>
      <c r="G11" s="8" t="str">
        <f>F3</f>
        <v>transparentnost</v>
      </c>
      <c r="H11" s="8">
        <f>AVERAGE(G8:H8)</f>
        <v>0.5</v>
      </c>
      <c r="K11" s="8" t="str">
        <f>J3</f>
        <v>transparentnost</v>
      </c>
      <c r="L11" s="8">
        <f>AVERAGE(K8:L8)</f>
        <v>0.75</v>
      </c>
      <c r="O11" s="8" t="str">
        <f>N3</f>
        <v>transparentnost</v>
      </c>
      <c r="P11" s="11">
        <f>AVERAGE(O8:P8)</f>
        <v>0.53373741817955345</v>
      </c>
    </row>
    <row r="12" spans="2:16" x14ac:dyDescent="0.2">
      <c r="C12" s="8" t="str">
        <f>B4</f>
        <v>komunikacija</v>
      </c>
      <c r="D12" s="8">
        <f>AVERAGE(C9:D9)</f>
        <v>0.66666666666666663</v>
      </c>
      <c r="G12" s="8" t="str">
        <f>F4</f>
        <v>komunikacija</v>
      </c>
      <c r="H12" s="8">
        <f>AVERAGE(G9:H9)</f>
        <v>0.5</v>
      </c>
      <c r="K12" s="8" t="str">
        <f>J4</f>
        <v>komunikacija</v>
      </c>
      <c r="L12" s="8">
        <f>AVERAGE(K9:L9)</f>
        <v>0.25</v>
      </c>
      <c r="O12" s="8" t="str">
        <f>N4</f>
        <v>komunikacija</v>
      </c>
      <c r="P12" s="11">
        <f>AVERAGE(O9:P9)</f>
        <v>0.46626258182044661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434A-338E-7B4A-BC1C-5DD156F3143B}">
  <dimension ref="B3:T33"/>
  <sheetViews>
    <sheetView workbookViewId="0">
      <selection activeCell="J20" sqref="J20"/>
    </sheetView>
  </sheetViews>
  <sheetFormatPr baseColWidth="10" defaultColWidth="8.83203125" defaultRowHeight="15" x14ac:dyDescent="0.2"/>
  <sheetData>
    <row r="3" spans="2:20" x14ac:dyDescent="0.2">
      <c r="B3" s="8"/>
      <c r="C3" s="8" t="str">
        <f>B4</f>
        <v>koordinacija</v>
      </c>
      <c r="D3" s="8" t="str">
        <f>B5</f>
        <v>administrativno</v>
      </c>
      <c r="E3" s="8" t="str">
        <f>B6</f>
        <v>praćenje</v>
      </c>
      <c r="G3" s="8"/>
      <c r="H3" s="8" t="str">
        <f>G4</f>
        <v>koordinacija</v>
      </c>
      <c r="I3" s="8" t="str">
        <f>G5</f>
        <v>administrativno</v>
      </c>
      <c r="J3" s="8" t="str">
        <f>G6</f>
        <v>praćenje</v>
      </c>
      <c r="L3" s="8"/>
      <c r="M3" s="8" t="str">
        <f>L4</f>
        <v>koordinacija</v>
      </c>
      <c r="N3" s="8" t="str">
        <f>L5</f>
        <v>administrativno</v>
      </c>
      <c r="O3" s="8" t="str">
        <f>L6</f>
        <v>praćenje</v>
      </c>
      <c r="Q3" s="8"/>
      <c r="R3" s="8" t="str">
        <f>Q4</f>
        <v>koordinacija</v>
      </c>
      <c r="S3" s="8" t="str">
        <f>Q5</f>
        <v>administrativno</v>
      </c>
      <c r="T3" s="8" t="str">
        <f>Q6</f>
        <v>praćenje</v>
      </c>
    </row>
    <row r="4" spans="2:20" x14ac:dyDescent="0.2">
      <c r="B4" s="9" t="s">
        <v>218</v>
      </c>
      <c r="C4" s="8">
        <v>1</v>
      </c>
      <c r="D4" s="8">
        <f>1/3</f>
        <v>0.33333333333333331</v>
      </c>
      <c r="E4" s="8">
        <f>1/2</f>
        <v>0.5</v>
      </c>
      <c r="G4" s="8" t="str">
        <f>B4</f>
        <v>koordinacija</v>
      </c>
      <c r="H4" s="8">
        <v>1</v>
      </c>
      <c r="I4" s="8">
        <f>1/2</f>
        <v>0.5</v>
      </c>
      <c r="J4" s="8">
        <v>1</v>
      </c>
      <c r="L4" s="8" t="str">
        <f>G4</f>
        <v>koordinacija</v>
      </c>
      <c r="M4" s="8">
        <v>1</v>
      </c>
      <c r="N4" s="8">
        <f>1/2</f>
        <v>0.5</v>
      </c>
      <c r="O4" s="8">
        <v>1</v>
      </c>
      <c r="Q4" s="8" t="str">
        <f>L4</f>
        <v>koordinacija</v>
      </c>
      <c r="R4" s="8">
        <f>GEOMEAN(C4,H4,M4)</f>
        <v>1</v>
      </c>
      <c r="S4" s="8">
        <f t="shared" ref="S4:T6" si="0">GEOMEAN(D4,I4,N4)</f>
        <v>0.43679023236814946</v>
      </c>
      <c r="T4" s="8">
        <f t="shared" si="0"/>
        <v>0.79370052598409979</v>
      </c>
    </row>
    <row r="5" spans="2:20" x14ac:dyDescent="0.2">
      <c r="B5" s="9" t="s">
        <v>219</v>
      </c>
      <c r="C5" s="8">
        <v>3</v>
      </c>
      <c r="D5" s="8">
        <v>1</v>
      </c>
      <c r="E5" s="8">
        <v>2</v>
      </c>
      <c r="G5" s="8" t="str">
        <f t="shared" ref="G5:G6" si="1">B5</f>
        <v>administrativno</v>
      </c>
      <c r="H5" s="8">
        <v>2</v>
      </c>
      <c r="I5" s="8">
        <v>1</v>
      </c>
      <c r="J5" s="8">
        <v>3</v>
      </c>
      <c r="L5" s="8" t="str">
        <f t="shared" ref="L5:L6" si="2">G5</f>
        <v>administrativno</v>
      </c>
      <c r="M5" s="8">
        <v>2</v>
      </c>
      <c r="N5" s="8">
        <v>1</v>
      </c>
      <c r="O5" s="8">
        <v>2</v>
      </c>
      <c r="Q5" s="8" t="str">
        <f t="shared" ref="Q5:Q6" si="3">L5</f>
        <v>administrativno</v>
      </c>
      <c r="R5" s="8">
        <f t="shared" ref="R5:R6" si="4">GEOMEAN(C5,H5,M5)</f>
        <v>2.2894284851066637</v>
      </c>
      <c r="S5" s="8">
        <f t="shared" si="0"/>
        <v>1</v>
      </c>
      <c r="T5" s="8">
        <f t="shared" si="0"/>
        <v>2.2894284851066637</v>
      </c>
    </row>
    <row r="6" spans="2:20" x14ac:dyDescent="0.2">
      <c r="B6" s="9" t="s">
        <v>220</v>
      </c>
      <c r="C6" s="8">
        <v>2</v>
      </c>
      <c r="D6" s="8">
        <f>1/2</f>
        <v>0.5</v>
      </c>
      <c r="E6" s="8">
        <v>1</v>
      </c>
      <c r="G6" s="8" t="str">
        <f t="shared" si="1"/>
        <v>praćenje</v>
      </c>
      <c r="H6" s="8">
        <v>1</v>
      </c>
      <c r="I6" s="8">
        <f>1/3</f>
        <v>0.33333333333333331</v>
      </c>
      <c r="J6" s="8">
        <v>1</v>
      </c>
      <c r="L6" s="8" t="str">
        <f t="shared" si="2"/>
        <v>praćenje</v>
      </c>
      <c r="M6" s="8">
        <v>1</v>
      </c>
      <c r="N6" s="8">
        <f>1/2</f>
        <v>0.5</v>
      </c>
      <c r="O6" s="8">
        <v>1</v>
      </c>
      <c r="Q6" s="8" t="str">
        <f t="shared" si="3"/>
        <v>praćenje</v>
      </c>
      <c r="R6" s="8">
        <f t="shared" si="4"/>
        <v>1.2599210498948732</v>
      </c>
      <c r="S6" s="8">
        <f t="shared" si="0"/>
        <v>0.43679023236814946</v>
      </c>
      <c r="T6" s="8">
        <f t="shared" si="0"/>
        <v>1</v>
      </c>
    </row>
    <row r="8" spans="2:20" hidden="1" x14ac:dyDescent="0.2">
      <c r="C8" s="8">
        <f>SUM(C4:C6)</f>
        <v>6</v>
      </c>
      <c r="D8" s="8">
        <f t="shared" ref="D8:E8" si="5">SUM(D4:D6)</f>
        <v>1.8333333333333333</v>
      </c>
      <c r="E8" s="8">
        <f t="shared" si="5"/>
        <v>3.5</v>
      </c>
      <c r="H8" s="8">
        <f>SUM(H4:H6)</f>
        <v>4</v>
      </c>
      <c r="I8" s="8">
        <f t="shared" ref="I8:J8" si="6">SUM(I4:I6)</f>
        <v>1.8333333333333333</v>
      </c>
      <c r="J8" s="8">
        <f t="shared" si="6"/>
        <v>5</v>
      </c>
      <c r="M8" s="8">
        <f>SUM(M4:M6)</f>
        <v>4</v>
      </c>
      <c r="N8" s="8">
        <f t="shared" ref="N8:O8" si="7">SUM(N4:N6)</f>
        <v>2</v>
      </c>
      <c r="O8" s="8">
        <f t="shared" si="7"/>
        <v>4</v>
      </c>
      <c r="R8" s="8">
        <f>SUM(R4:R6)</f>
        <v>4.5493495350015367</v>
      </c>
      <c r="S8" s="8">
        <f t="shared" ref="S8:T8" si="8">SUM(S4:S6)</f>
        <v>1.8735804647362988</v>
      </c>
      <c r="T8" s="8">
        <f t="shared" si="8"/>
        <v>4.0831290110907634</v>
      </c>
    </row>
    <row r="9" spans="2:20" hidden="1" x14ac:dyDescent="0.2"/>
    <row r="10" spans="2:20" hidden="1" x14ac:dyDescent="0.2"/>
    <row r="11" spans="2:20" hidden="1" x14ac:dyDescent="0.2">
      <c r="C11" s="8">
        <f>C4/C$8</f>
        <v>0.16666666666666666</v>
      </c>
      <c r="D11" s="8">
        <f>D4/D$8</f>
        <v>0.18181818181818182</v>
      </c>
      <c r="E11" s="8">
        <f>E4/E$8</f>
        <v>0.14285714285714285</v>
      </c>
      <c r="H11" s="8">
        <f>H4/H$8</f>
        <v>0.25</v>
      </c>
      <c r="I11" s="8">
        <f>I4/I$8</f>
        <v>0.27272727272727276</v>
      </c>
      <c r="J11" s="8">
        <f>J4/J$8</f>
        <v>0.2</v>
      </c>
      <c r="M11" s="8">
        <f>M4/M$8</f>
        <v>0.25</v>
      </c>
      <c r="N11" s="8">
        <f>N4/N$8</f>
        <v>0.25</v>
      </c>
      <c r="O11" s="8">
        <f>O4/O$8</f>
        <v>0.25</v>
      </c>
      <c r="R11" s="8">
        <f>R4/R$8</f>
        <v>0.21981164390782784</v>
      </c>
      <c r="S11" s="8">
        <f>S4/S$8</f>
        <v>0.2331312909102233</v>
      </c>
      <c r="T11" s="8">
        <f>T4/T$8</f>
        <v>0.19438536569092421</v>
      </c>
    </row>
    <row r="12" spans="2:20" hidden="1" x14ac:dyDescent="0.2">
      <c r="C12" s="8">
        <f t="shared" ref="C12:E13" si="9">C5/C$8</f>
        <v>0.5</v>
      </c>
      <c r="D12" s="8">
        <f t="shared" si="9"/>
        <v>0.54545454545454553</v>
      </c>
      <c r="E12" s="8">
        <f t="shared" si="9"/>
        <v>0.5714285714285714</v>
      </c>
      <c r="H12" s="8">
        <f t="shared" ref="H12:J13" si="10">H5/H$8</f>
        <v>0.5</v>
      </c>
      <c r="I12" s="8">
        <f t="shared" si="10"/>
        <v>0.54545454545454553</v>
      </c>
      <c r="J12" s="8">
        <f t="shared" si="10"/>
        <v>0.6</v>
      </c>
      <c r="M12" s="8">
        <f t="shared" ref="M12:O13" si="11">M5/M$8</f>
        <v>0.5</v>
      </c>
      <c r="N12" s="8">
        <f t="shared" si="11"/>
        <v>0.5</v>
      </c>
      <c r="O12" s="8">
        <f t="shared" si="11"/>
        <v>0.5</v>
      </c>
      <c r="R12" s="8">
        <f t="shared" ref="R12:T13" si="12">R5/R$8</f>
        <v>0.50324303892070377</v>
      </c>
      <c r="S12" s="8">
        <f t="shared" si="12"/>
        <v>0.53373741817955345</v>
      </c>
      <c r="T12" s="8">
        <f t="shared" si="12"/>
        <v>0.56070442028356771</v>
      </c>
    </row>
    <row r="13" spans="2:20" hidden="1" x14ac:dyDescent="0.2">
      <c r="C13" s="8">
        <f t="shared" si="9"/>
        <v>0.33333333333333331</v>
      </c>
      <c r="D13" s="8">
        <f t="shared" si="9"/>
        <v>0.27272727272727276</v>
      </c>
      <c r="E13" s="8">
        <f t="shared" si="9"/>
        <v>0.2857142857142857</v>
      </c>
      <c r="H13" s="8">
        <f t="shared" si="10"/>
        <v>0.25</v>
      </c>
      <c r="I13" s="8">
        <f t="shared" si="10"/>
        <v>0.18181818181818182</v>
      </c>
      <c r="J13" s="8">
        <f t="shared" si="10"/>
        <v>0.2</v>
      </c>
      <c r="M13" s="8">
        <f t="shared" si="11"/>
        <v>0.25</v>
      </c>
      <c r="N13" s="8">
        <f t="shared" si="11"/>
        <v>0.25</v>
      </c>
      <c r="O13" s="8">
        <f t="shared" si="11"/>
        <v>0.25</v>
      </c>
      <c r="R13" s="8">
        <f t="shared" si="12"/>
        <v>0.27694531717146847</v>
      </c>
      <c r="S13" s="8">
        <f t="shared" si="12"/>
        <v>0.2331312909102233</v>
      </c>
      <c r="T13" s="8">
        <f t="shared" si="12"/>
        <v>0.24491021402550808</v>
      </c>
    </row>
    <row r="14" spans="2:20" hidden="1" x14ac:dyDescent="0.2"/>
    <row r="15" spans="2:20" x14ac:dyDescent="0.2">
      <c r="D15" s="8" t="str">
        <f>B4</f>
        <v>koordinacija</v>
      </c>
      <c r="E15" s="8">
        <f>AVERAGE(C11:E11)</f>
        <v>0.16378066378066378</v>
      </c>
      <c r="I15" s="8" t="str">
        <f>G4</f>
        <v>koordinacija</v>
      </c>
      <c r="J15" s="8">
        <f>AVERAGE(H11:J11)</f>
        <v>0.24090909090909088</v>
      </c>
      <c r="N15" s="8" t="str">
        <f>L4</f>
        <v>koordinacija</v>
      </c>
      <c r="O15" s="8">
        <f>AVERAGE(M11:O11)</f>
        <v>0.25</v>
      </c>
      <c r="S15" s="8" t="str">
        <f>Q4</f>
        <v>koordinacija</v>
      </c>
      <c r="T15" s="11">
        <f>AVERAGE(R11:T11)</f>
        <v>0.21577610016965845</v>
      </c>
    </row>
    <row r="16" spans="2:20" x14ac:dyDescent="0.2">
      <c r="D16" s="8" t="str">
        <f t="shared" ref="D16:D17" si="13">B5</f>
        <v>administrativno</v>
      </c>
      <c r="E16" s="8">
        <f t="shared" ref="E16:E17" si="14">AVERAGE(C12:E12)</f>
        <v>0.53896103896103897</v>
      </c>
      <c r="I16" s="8" t="str">
        <f t="shared" ref="I16:I17" si="15">G5</f>
        <v>administrativno</v>
      </c>
      <c r="J16" s="8">
        <f t="shared" ref="J16:J17" si="16">AVERAGE(H12:J12)</f>
        <v>0.54848484848484846</v>
      </c>
      <c r="N16" s="8" t="str">
        <f t="shared" ref="N16:N17" si="17">L5</f>
        <v>administrativno</v>
      </c>
      <c r="O16" s="8">
        <f t="shared" ref="O16:O17" si="18">AVERAGE(M12:O12)</f>
        <v>0.5</v>
      </c>
      <c r="S16" s="8" t="str">
        <f t="shared" ref="S16:S17" si="19">Q5</f>
        <v>administrativno</v>
      </c>
      <c r="T16" s="11">
        <f t="shared" ref="T16:T17" si="20">AVERAGE(R12:T12)</f>
        <v>0.53256162579460831</v>
      </c>
    </row>
    <row r="17" spans="2:20" x14ac:dyDescent="0.2">
      <c r="D17" s="8" t="str">
        <f t="shared" si="13"/>
        <v>praćenje</v>
      </c>
      <c r="E17" s="8">
        <f t="shared" si="14"/>
        <v>0.29725829725829728</v>
      </c>
      <c r="I17" s="8" t="str">
        <f t="shared" si="15"/>
        <v>praćenje</v>
      </c>
      <c r="J17" s="8">
        <f t="shared" si="16"/>
        <v>0.2106060606060606</v>
      </c>
      <c r="N17" s="8" t="str">
        <f t="shared" si="17"/>
        <v>praćenje</v>
      </c>
      <c r="O17" s="8">
        <f t="shared" si="18"/>
        <v>0.25</v>
      </c>
      <c r="S17" s="8" t="str">
        <f t="shared" si="19"/>
        <v>praćenje</v>
      </c>
      <c r="T17" s="11">
        <f t="shared" si="20"/>
        <v>0.25166227403573327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0.16378066378066378</v>
      </c>
      <c r="D21" s="8">
        <f>D4*E$16</f>
        <v>0.17965367965367965</v>
      </c>
      <c r="E21" s="8">
        <f>E4*E$17</f>
        <v>0.14862914862914864</v>
      </c>
      <c r="H21" s="8">
        <f>H4*J$15</f>
        <v>0.24090909090909088</v>
      </c>
      <c r="I21" s="8">
        <f>I4*J$16</f>
        <v>0.27424242424242423</v>
      </c>
      <c r="J21" s="8">
        <f>J4*J$17</f>
        <v>0.2106060606060606</v>
      </c>
      <c r="M21" s="8">
        <f>M4*O$15</f>
        <v>0.25</v>
      </c>
      <c r="N21" s="8">
        <f>N4*O$16</f>
        <v>0.25</v>
      </c>
      <c r="O21" s="8">
        <f>O4*O$17</f>
        <v>0.25</v>
      </c>
      <c r="R21" s="8">
        <f>R4*T$15</f>
        <v>0.21577610016965845</v>
      </c>
      <c r="S21" s="8">
        <f>S4*T$16</f>
        <v>0.23261771628118641</v>
      </c>
      <c r="T21" s="8">
        <f>T4*T$17</f>
        <v>0.19974447927251615</v>
      </c>
    </row>
    <row r="22" spans="2:20" hidden="1" x14ac:dyDescent="0.2">
      <c r="C22" s="8">
        <f t="shared" ref="C22:C23" si="21">C5*E$15</f>
        <v>0.4913419913419913</v>
      </c>
      <c r="D22" s="8">
        <f t="shared" ref="D22:D23" si="22">D5*E$16</f>
        <v>0.53896103896103897</v>
      </c>
      <c r="E22" s="8">
        <f t="shared" ref="E22:E23" si="23">E5*E$17</f>
        <v>0.59451659451659455</v>
      </c>
      <c r="H22" s="8">
        <f t="shared" ref="H22:H23" si="24">H5*J$15</f>
        <v>0.48181818181818176</v>
      </c>
      <c r="I22" s="8">
        <f t="shared" ref="I22:I23" si="25">I5*J$16</f>
        <v>0.54848484848484846</v>
      </c>
      <c r="J22" s="8">
        <f t="shared" ref="J22:J23" si="26">J5*J$17</f>
        <v>0.63181818181818183</v>
      </c>
      <c r="M22" s="8">
        <f t="shared" ref="M22:M23" si="27">M5*O$15</f>
        <v>0.5</v>
      </c>
      <c r="N22" s="8">
        <f t="shared" ref="N22:N23" si="28">N5*O$16</f>
        <v>0.5</v>
      </c>
      <c r="O22" s="8">
        <f t="shared" ref="O22:O23" si="29">O5*O$17</f>
        <v>0.5</v>
      </c>
      <c r="R22" s="8">
        <f t="shared" ref="R22:R23" si="30">R5*T$15</f>
        <v>0.4940039501336449</v>
      </c>
      <c r="S22" s="8">
        <f t="shared" ref="S22:S23" si="31">S5*T$16</f>
        <v>0.53256162579460831</v>
      </c>
      <c r="T22" s="8">
        <f t="shared" ref="T22:T23" si="32">T5*T$17</f>
        <v>0.57616277880412692</v>
      </c>
    </row>
    <row r="23" spans="2:20" hidden="1" x14ac:dyDescent="0.2">
      <c r="C23" s="8">
        <f t="shared" si="21"/>
        <v>0.32756132756132755</v>
      </c>
      <c r="D23" s="8">
        <f t="shared" si="22"/>
        <v>0.26948051948051949</v>
      </c>
      <c r="E23" s="8">
        <f t="shared" si="23"/>
        <v>0.29725829725829728</v>
      </c>
      <c r="H23" s="8">
        <f t="shared" si="24"/>
        <v>0.24090909090909088</v>
      </c>
      <c r="I23" s="8">
        <f t="shared" si="25"/>
        <v>0.18282828282828281</v>
      </c>
      <c r="J23" s="8">
        <f t="shared" si="26"/>
        <v>0.2106060606060606</v>
      </c>
      <c r="M23" s="8">
        <f t="shared" si="27"/>
        <v>0.25</v>
      </c>
      <c r="N23" s="8">
        <f t="shared" si="28"/>
        <v>0.25</v>
      </c>
      <c r="O23" s="8">
        <f t="shared" si="29"/>
        <v>0.25</v>
      </c>
      <c r="R23" s="8">
        <f t="shared" si="30"/>
        <v>0.27186085066797738</v>
      </c>
      <c r="S23" s="8">
        <f t="shared" si="31"/>
        <v>0.23261771628118641</v>
      </c>
      <c r="T23" s="8">
        <f t="shared" si="32"/>
        <v>0.25166227403573327</v>
      </c>
    </row>
    <row r="24" spans="2:20" hidden="1" x14ac:dyDescent="0.2"/>
    <row r="25" spans="2:20" hidden="1" x14ac:dyDescent="0.2">
      <c r="C25" s="8">
        <f>SUM(C21:E21)</f>
        <v>0.49206349206349209</v>
      </c>
      <c r="D25" s="8">
        <f>SUM(C22:E22)</f>
        <v>1.6248196248196249</v>
      </c>
      <c r="E25" s="8">
        <f>SUM(C23:E23)</f>
        <v>0.89430014430014437</v>
      </c>
      <c r="H25" s="8">
        <f>SUM(H21:J21)</f>
        <v>0.72575757575757571</v>
      </c>
      <c r="I25" s="8">
        <f>SUM(H22:J22)</f>
        <v>1.6621212121212121</v>
      </c>
      <c r="J25" s="8">
        <f>SUM(H23:J23)</f>
        <v>0.63434343434343432</v>
      </c>
      <c r="M25" s="8">
        <f>SUM(M21:O21)</f>
        <v>0.75</v>
      </c>
      <c r="N25" s="8">
        <f>SUM(M22:O22)</f>
        <v>1.5</v>
      </c>
      <c r="O25" s="8">
        <f>SUM(M23:O23)</f>
        <v>0.75</v>
      </c>
      <c r="R25" s="8">
        <f>SUM(R21:T21)</f>
        <v>0.64813829572336101</v>
      </c>
      <c r="S25" s="8">
        <f>SUM(R22:T22)</f>
        <v>1.6027283547323803</v>
      </c>
      <c r="T25" s="8">
        <f>SUM(R23:T23)</f>
        <v>0.75614084098489709</v>
      </c>
    </row>
    <row r="26" spans="2:20" hidden="1" x14ac:dyDescent="0.2"/>
    <row r="27" spans="2:20" hidden="1" x14ac:dyDescent="0.2">
      <c r="C27" s="8">
        <f>E15</f>
        <v>0.16378066378066378</v>
      </c>
      <c r="D27" s="8">
        <f>E16</f>
        <v>0.53896103896103897</v>
      </c>
      <c r="E27" s="8">
        <f>E17</f>
        <v>0.29725829725829728</v>
      </c>
      <c r="H27" s="8">
        <f>J15</f>
        <v>0.24090909090909088</v>
      </c>
      <c r="I27" s="8">
        <f>J16</f>
        <v>0.54848484848484846</v>
      </c>
      <c r="J27" s="8">
        <f>J17</f>
        <v>0.2106060606060606</v>
      </c>
      <c r="M27" s="8">
        <f>O15</f>
        <v>0.25</v>
      </c>
      <c r="N27" s="8">
        <f>O16</f>
        <v>0.5</v>
      </c>
      <c r="O27" s="8">
        <f>O17</f>
        <v>0.25</v>
      </c>
      <c r="R27" s="8">
        <f>T15</f>
        <v>0.21577610016965845</v>
      </c>
      <c r="S27" s="8">
        <f>T16</f>
        <v>0.53256162579460831</v>
      </c>
      <c r="T27" s="8">
        <f>T17</f>
        <v>0.25166227403573327</v>
      </c>
    </row>
    <row r="28" spans="2:20" hidden="1" x14ac:dyDescent="0.2"/>
    <row r="29" spans="2:20" hidden="1" x14ac:dyDescent="0.2">
      <c r="C29" s="8">
        <f>C25/C27</f>
        <v>3.0044052863436126</v>
      </c>
      <c r="D29" s="8">
        <f t="shared" ref="D29:E29" si="33">D25/D27</f>
        <v>3.0147255689424366</v>
      </c>
      <c r="E29" s="8">
        <f t="shared" si="33"/>
        <v>3.008495145631068</v>
      </c>
      <c r="H29" s="8">
        <f>H25/H27</f>
        <v>3.0125786163522013</v>
      </c>
      <c r="I29" s="8">
        <f t="shared" ref="I29:J29" si="34">I25/I27</f>
        <v>3.0303867403314917</v>
      </c>
      <c r="J29" s="8">
        <f t="shared" si="34"/>
        <v>3.0119904076738608</v>
      </c>
      <c r="M29" s="8">
        <f>M25/M27</f>
        <v>3</v>
      </c>
      <c r="N29" s="8">
        <f t="shared" ref="N29:O29" si="35">N25/N27</f>
        <v>3</v>
      </c>
      <c r="O29" s="8">
        <f t="shared" si="35"/>
        <v>3</v>
      </c>
      <c r="R29" s="8">
        <f>R25/R27</f>
        <v>3.0037538690047172</v>
      </c>
      <c r="S29" s="8">
        <f t="shared" ref="S29:T29" si="36">S25/S27</f>
        <v>3.0094702229831718</v>
      </c>
      <c r="T29" s="8">
        <f t="shared" si="36"/>
        <v>3.0045855855118493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3.0092086669723721</v>
      </c>
      <c r="I31" s="8" t="s">
        <v>20</v>
      </c>
      <c r="J31" s="8">
        <f>AVERAGE(H29:J29)</f>
        <v>3.0183185881191847</v>
      </c>
      <c r="N31" s="8" t="s">
        <v>20</v>
      </c>
      <c r="O31" s="8">
        <f>AVERAGE(M29:O29)</f>
        <v>3</v>
      </c>
      <c r="S31" s="8" t="s">
        <v>20</v>
      </c>
      <c r="T31" s="8">
        <f>AVERAGE(R29:T29)</f>
        <v>3.0059365591665794</v>
      </c>
    </row>
    <row r="32" spans="2:20" hidden="1" x14ac:dyDescent="0.2">
      <c r="D32" s="8" t="s">
        <v>21</v>
      </c>
      <c r="E32" s="8">
        <f>(E31-3)/2</f>
        <v>4.6043334861860519E-3</v>
      </c>
      <c r="I32" s="8" t="s">
        <v>21</v>
      </c>
      <c r="J32" s="8">
        <f>(J31-3)/2</f>
        <v>9.1592940595923711E-3</v>
      </c>
      <c r="N32" s="8" t="s">
        <v>21</v>
      </c>
      <c r="O32" s="8">
        <f>(O31-3)/2</f>
        <v>0</v>
      </c>
      <c r="S32" s="8" t="s">
        <v>21</v>
      </c>
      <c r="T32" s="8">
        <f>(T31-3)/2</f>
        <v>2.9682795832897124E-3</v>
      </c>
    </row>
    <row r="33" spans="4:20" x14ac:dyDescent="0.2">
      <c r="D33" s="8" t="s">
        <v>22</v>
      </c>
      <c r="E33" s="8">
        <f>E32/0.52</f>
        <v>8.8544874734347145E-3</v>
      </c>
      <c r="I33" s="8" t="s">
        <v>22</v>
      </c>
      <c r="J33" s="8">
        <f>J32/0.52</f>
        <v>1.7614027037677636E-2</v>
      </c>
      <c r="N33" s="8" t="s">
        <v>22</v>
      </c>
      <c r="O33" s="8">
        <f>O32/0.52</f>
        <v>0</v>
      </c>
      <c r="S33" s="8" t="s">
        <v>22</v>
      </c>
      <c r="T33" s="8">
        <f>T32/0.52</f>
        <v>5.7082299678648312E-3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57D9-47B7-5B4F-91FE-B223FCA7291F}">
  <dimension ref="B2:AF43"/>
  <sheetViews>
    <sheetView topLeftCell="I1" zoomScaleNormal="85" workbookViewId="0">
      <selection activeCell="AE43" sqref="AE43"/>
    </sheetView>
  </sheetViews>
  <sheetFormatPr baseColWidth="10" defaultColWidth="8.83203125" defaultRowHeight="15" x14ac:dyDescent="0.2"/>
  <sheetData>
    <row r="2" spans="2:32" x14ac:dyDescent="0.2">
      <c r="B2" s="8"/>
      <c r="C2" s="22" t="str">
        <f>B3</f>
        <v>fin</v>
      </c>
      <c r="D2" s="22" t="str">
        <f>B4</f>
        <v>rep</v>
      </c>
      <c r="E2" s="22" t="str">
        <f>B5</f>
        <v>zad</v>
      </c>
      <c r="F2" s="22" t="str">
        <f>B6</f>
        <v>ubrz</v>
      </c>
      <c r="G2" s="22" t="str">
        <f>B7</f>
        <v>ljudi</v>
      </c>
      <c r="H2" s="22" t="str">
        <f>B8</f>
        <v>teh</v>
      </c>
      <c r="J2" s="8"/>
      <c r="K2" s="22" t="str">
        <f>J3</f>
        <v>fin</v>
      </c>
      <c r="L2" s="22" t="str">
        <f>J4</f>
        <v>rep</v>
      </c>
      <c r="M2" s="22" t="str">
        <f>J5</f>
        <v>zad</v>
      </c>
      <c r="N2" s="22" t="str">
        <f>J6</f>
        <v>ubrz</v>
      </c>
      <c r="O2" s="22" t="str">
        <f>J7</f>
        <v>ljudi</v>
      </c>
      <c r="P2" s="22" t="str">
        <f>J8</f>
        <v>teh</v>
      </c>
      <c r="R2" s="8"/>
      <c r="S2" s="22" t="str">
        <f>R3</f>
        <v>fin</v>
      </c>
      <c r="T2" s="22" t="str">
        <f>R4</f>
        <v>rep</v>
      </c>
      <c r="U2" s="22" t="str">
        <f>R5</f>
        <v>zad</v>
      </c>
      <c r="V2" s="22" t="str">
        <f>R6</f>
        <v>ubrz</v>
      </c>
      <c r="W2" s="22" t="str">
        <f>R7</f>
        <v>ljudi</v>
      </c>
      <c r="X2" s="22" t="str">
        <f>R8</f>
        <v>teh</v>
      </c>
      <c r="Z2" s="8"/>
      <c r="AA2" s="22" t="str">
        <f>Z3</f>
        <v>fin</v>
      </c>
      <c r="AB2" s="22" t="str">
        <f>Z4</f>
        <v>rep</v>
      </c>
      <c r="AC2" s="22" t="str">
        <f>Z5</f>
        <v>zad</v>
      </c>
      <c r="AD2" s="22" t="str">
        <f>Z6</f>
        <v>ubrz</v>
      </c>
      <c r="AE2" s="22" t="str">
        <f>Z7</f>
        <v>ljudi</v>
      </c>
      <c r="AF2" s="22" t="str">
        <f>Z8</f>
        <v>teh</v>
      </c>
    </row>
    <row r="3" spans="2:32" x14ac:dyDescent="0.2">
      <c r="B3" s="9" t="s">
        <v>96</v>
      </c>
      <c r="C3" s="8">
        <v>1</v>
      </c>
      <c r="D3" s="8">
        <v>1</v>
      </c>
      <c r="E3" s="8">
        <f>1/2</f>
        <v>0.5</v>
      </c>
      <c r="F3" s="8">
        <v>2</v>
      </c>
      <c r="G3" s="8">
        <v>5</v>
      </c>
      <c r="H3" s="8">
        <v>3</v>
      </c>
      <c r="J3" s="9" t="str">
        <f>B3</f>
        <v>fin</v>
      </c>
      <c r="K3" s="8">
        <v>1</v>
      </c>
      <c r="L3" s="8">
        <v>2</v>
      </c>
      <c r="M3" s="8">
        <v>3</v>
      </c>
      <c r="N3" s="8">
        <v>5</v>
      </c>
      <c r="O3" s="8">
        <v>7</v>
      </c>
      <c r="P3" s="8">
        <v>4</v>
      </c>
      <c r="R3" s="9" t="str">
        <f>B3</f>
        <v>fin</v>
      </c>
      <c r="S3" s="8">
        <v>1</v>
      </c>
      <c r="T3" s="8">
        <v>2</v>
      </c>
      <c r="U3" s="8">
        <v>2</v>
      </c>
      <c r="V3" s="8">
        <v>4</v>
      </c>
      <c r="W3" s="8">
        <v>5</v>
      </c>
      <c r="X3" s="8">
        <v>4</v>
      </c>
      <c r="Z3" s="9" t="str">
        <f t="shared" ref="Z3:Z8" si="0">B3</f>
        <v>fin</v>
      </c>
      <c r="AA3" s="8">
        <f>GEOMEAN(C3,K3,S3)</f>
        <v>1</v>
      </c>
      <c r="AB3" s="8">
        <f t="shared" ref="AB3:AF8" si="1">GEOMEAN(D3,L3,T3)</f>
        <v>1.5874010519681994</v>
      </c>
      <c r="AC3" s="8">
        <f t="shared" si="1"/>
        <v>1.4422495703074083</v>
      </c>
      <c r="AD3" s="8">
        <f t="shared" si="1"/>
        <v>3.4199518933533937</v>
      </c>
      <c r="AE3" s="8">
        <f t="shared" si="1"/>
        <v>5.5934447104069838</v>
      </c>
      <c r="AF3" s="8">
        <f t="shared" si="1"/>
        <v>3.6342411856642793</v>
      </c>
    </row>
    <row r="4" spans="2:32" x14ac:dyDescent="0.2">
      <c r="B4" s="9" t="s">
        <v>97</v>
      </c>
      <c r="C4" s="8">
        <v>1</v>
      </c>
      <c r="D4" s="8">
        <v>1</v>
      </c>
      <c r="E4" s="8">
        <f>1/4</f>
        <v>0.25</v>
      </c>
      <c r="F4" s="8">
        <v>3</v>
      </c>
      <c r="G4" s="8">
        <v>5</v>
      </c>
      <c r="H4" s="8">
        <v>7</v>
      </c>
      <c r="J4" s="9" t="str">
        <f t="shared" ref="J4:J8" si="2">B4</f>
        <v>rep</v>
      </c>
      <c r="K4" s="8">
        <f>1/2</f>
        <v>0.5</v>
      </c>
      <c r="L4" s="8">
        <v>1</v>
      </c>
      <c r="M4" s="8">
        <v>2</v>
      </c>
      <c r="N4" s="8">
        <v>4</v>
      </c>
      <c r="O4" s="8">
        <v>6</v>
      </c>
      <c r="P4" s="8">
        <v>3</v>
      </c>
      <c r="R4" s="9" t="str">
        <f t="shared" ref="R4:R8" si="3">B4</f>
        <v>rep</v>
      </c>
      <c r="S4" s="8">
        <f>1/2</f>
        <v>0.5</v>
      </c>
      <c r="T4" s="8">
        <v>1</v>
      </c>
      <c r="U4" s="8">
        <v>2</v>
      </c>
      <c r="V4" s="8">
        <v>3</v>
      </c>
      <c r="W4" s="8">
        <v>5</v>
      </c>
      <c r="X4" s="8">
        <v>3</v>
      </c>
      <c r="Z4" s="9" t="str">
        <f t="shared" si="0"/>
        <v>rep</v>
      </c>
      <c r="AA4" s="8">
        <f t="shared" ref="AA4:AA8" si="4">GEOMEAN(C4,K4,S4)</f>
        <v>0.6299605249474366</v>
      </c>
      <c r="AB4" s="8">
        <f t="shared" si="1"/>
        <v>1</v>
      </c>
      <c r="AC4" s="8">
        <f t="shared" si="1"/>
        <v>1</v>
      </c>
      <c r="AD4" s="8">
        <f t="shared" si="1"/>
        <v>3.3019272488946267</v>
      </c>
      <c r="AE4" s="8">
        <f t="shared" si="1"/>
        <v>5.3132928459130557</v>
      </c>
      <c r="AF4" s="8">
        <f t="shared" si="1"/>
        <v>3.9790572078963922</v>
      </c>
    </row>
    <row r="5" spans="2:32" x14ac:dyDescent="0.2">
      <c r="B5" s="9" t="s">
        <v>98</v>
      </c>
      <c r="C5" s="8">
        <v>2</v>
      </c>
      <c r="D5" s="8">
        <v>4</v>
      </c>
      <c r="E5" s="8">
        <v>1</v>
      </c>
      <c r="F5" s="8">
        <v>6</v>
      </c>
      <c r="G5" s="8">
        <v>6</v>
      </c>
      <c r="H5" s="8">
        <v>7</v>
      </c>
      <c r="J5" s="9" t="str">
        <f t="shared" si="2"/>
        <v>zad</v>
      </c>
      <c r="K5" s="8">
        <f>1/3</f>
        <v>0.33333333333333331</v>
      </c>
      <c r="L5" s="8">
        <f>1/2</f>
        <v>0.5</v>
      </c>
      <c r="M5" s="8">
        <v>1</v>
      </c>
      <c r="N5" s="8">
        <v>2</v>
      </c>
      <c r="O5" s="8">
        <v>4</v>
      </c>
      <c r="P5" s="8">
        <v>2</v>
      </c>
      <c r="R5" s="9" t="str">
        <f t="shared" si="3"/>
        <v>zad</v>
      </c>
      <c r="S5" s="8">
        <f>1/2</f>
        <v>0.5</v>
      </c>
      <c r="T5" s="8">
        <f>1/2</f>
        <v>0.5</v>
      </c>
      <c r="U5" s="8">
        <v>1</v>
      </c>
      <c r="V5" s="8">
        <v>2</v>
      </c>
      <c r="W5" s="8">
        <v>3</v>
      </c>
      <c r="X5" s="8">
        <v>2</v>
      </c>
      <c r="Z5" s="9" t="str">
        <f t="shared" si="0"/>
        <v>zad</v>
      </c>
      <c r="AA5" s="8">
        <f t="shared" si="4"/>
        <v>0.69336127435063466</v>
      </c>
      <c r="AB5" s="8">
        <f t="shared" si="1"/>
        <v>1</v>
      </c>
      <c r="AC5" s="8">
        <f t="shared" si="1"/>
        <v>1</v>
      </c>
      <c r="AD5" s="8">
        <f t="shared" si="1"/>
        <v>2.8844991406148166</v>
      </c>
      <c r="AE5" s="8">
        <f t="shared" si="1"/>
        <v>4.1601676461038082</v>
      </c>
      <c r="AF5" s="8">
        <f t="shared" si="1"/>
        <v>3.0365889718756627</v>
      </c>
    </row>
    <row r="6" spans="2:32" x14ac:dyDescent="0.2">
      <c r="B6" s="9" t="s">
        <v>99</v>
      </c>
      <c r="C6" s="8">
        <f>1/2</f>
        <v>0.5</v>
      </c>
      <c r="D6" s="8">
        <f>1/3</f>
        <v>0.33333333333333331</v>
      </c>
      <c r="E6" s="8">
        <f>1/6</f>
        <v>0.16666666666666666</v>
      </c>
      <c r="F6" s="8">
        <v>1</v>
      </c>
      <c r="G6" s="8">
        <v>4</v>
      </c>
      <c r="H6" s="8">
        <v>1</v>
      </c>
      <c r="J6" s="9" t="str">
        <f t="shared" si="2"/>
        <v>ubrz</v>
      </c>
      <c r="K6" s="8">
        <f>1/5</f>
        <v>0.2</v>
      </c>
      <c r="L6" s="8">
        <f>1/4</f>
        <v>0.25</v>
      </c>
      <c r="M6" s="8">
        <f>1/2</f>
        <v>0.5</v>
      </c>
      <c r="N6" s="8">
        <v>1</v>
      </c>
      <c r="O6" s="8">
        <v>3</v>
      </c>
      <c r="P6" s="8">
        <f>1/2</f>
        <v>0.5</v>
      </c>
      <c r="R6" s="9" t="str">
        <f t="shared" si="3"/>
        <v>ubrz</v>
      </c>
      <c r="S6" s="8">
        <f>1/4</f>
        <v>0.25</v>
      </c>
      <c r="T6" s="8">
        <f>1/3</f>
        <v>0.33333333333333331</v>
      </c>
      <c r="U6" s="8">
        <f>1/2</f>
        <v>0.5</v>
      </c>
      <c r="V6" s="8">
        <v>1</v>
      </c>
      <c r="W6" s="8">
        <v>2</v>
      </c>
      <c r="X6" s="8">
        <f>1/2</f>
        <v>0.5</v>
      </c>
      <c r="Z6" s="9" t="str">
        <f t="shared" si="0"/>
        <v>ubrz</v>
      </c>
      <c r="AA6" s="8">
        <f t="shared" si="4"/>
        <v>0.29240177382128663</v>
      </c>
      <c r="AB6" s="8">
        <f t="shared" si="1"/>
        <v>0.30285343213868993</v>
      </c>
      <c r="AC6" s="8">
        <f t="shared" si="1"/>
        <v>0.34668063717531733</v>
      </c>
      <c r="AD6" s="8">
        <f t="shared" si="1"/>
        <v>1</v>
      </c>
      <c r="AE6" s="8">
        <f t="shared" si="1"/>
        <v>2.8844991406148166</v>
      </c>
      <c r="AF6" s="8">
        <f t="shared" si="1"/>
        <v>0.6299605249474366</v>
      </c>
    </row>
    <row r="7" spans="2:32" x14ac:dyDescent="0.2">
      <c r="B7" s="9" t="s">
        <v>100</v>
      </c>
      <c r="C7" s="8">
        <f>1/5</f>
        <v>0.2</v>
      </c>
      <c r="D7" s="8">
        <f>1/5</f>
        <v>0.2</v>
      </c>
      <c r="E7" s="8">
        <f>1/6</f>
        <v>0.16666666666666666</v>
      </c>
      <c r="F7" s="8">
        <f>1/4</f>
        <v>0.25</v>
      </c>
      <c r="G7" s="8">
        <v>1</v>
      </c>
      <c r="H7" s="8">
        <v>3</v>
      </c>
      <c r="J7" s="9" t="str">
        <f t="shared" si="2"/>
        <v>ljudi</v>
      </c>
      <c r="K7" s="8">
        <f>1/7</f>
        <v>0.14285714285714285</v>
      </c>
      <c r="L7" s="8">
        <f>1/6</f>
        <v>0.16666666666666666</v>
      </c>
      <c r="M7" s="8">
        <f>1/4</f>
        <v>0.25</v>
      </c>
      <c r="N7" s="8">
        <f>1/3</f>
        <v>0.33333333333333331</v>
      </c>
      <c r="O7" s="8">
        <v>1</v>
      </c>
      <c r="P7" s="8">
        <f>1/3</f>
        <v>0.33333333333333331</v>
      </c>
      <c r="R7" s="9" t="str">
        <f t="shared" si="3"/>
        <v>ljudi</v>
      </c>
      <c r="S7" s="8">
        <f>1/5</f>
        <v>0.2</v>
      </c>
      <c r="T7" s="8">
        <f>1/5</f>
        <v>0.2</v>
      </c>
      <c r="U7" s="8">
        <f>1/3</f>
        <v>0.33333333333333331</v>
      </c>
      <c r="V7" s="8">
        <f>1/2</f>
        <v>0.5</v>
      </c>
      <c r="W7" s="8">
        <v>1</v>
      </c>
      <c r="X7" s="8">
        <f>1/2</f>
        <v>0.5</v>
      </c>
      <c r="Z7" s="9" t="str">
        <f t="shared" si="0"/>
        <v>ljudi</v>
      </c>
      <c r="AA7" s="8">
        <f t="shared" si="4"/>
        <v>0.17878070701931353</v>
      </c>
      <c r="AB7" s="8">
        <f t="shared" si="1"/>
        <v>0.1882072057762057</v>
      </c>
      <c r="AC7" s="8">
        <f t="shared" si="1"/>
        <v>0.24037492838456806</v>
      </c>
      <c r="AD7" s="8">
        <f t="shared" si="1"/>
        <v>0.34668063717531733</v>
      </c>
      <c r="AE7" s="8">
        <f t="shared" si="1"/>
        <v>1</v>
      </c>
      <c r="AF7" s="8">
        <f t="shared" si="1"/>
        <v>0.79370052598409979</v>
      </c>
    </row>
    <row r="8" spans="2:32" x14ac:dyDescent="0.2">
      <c r="B8" s="9" t="s">
        <v>101</v>
      </c>
      <c r="C8" s="8">
        <f>1/3</f>
        <v>0.33333333333333331</v>
      </c>
      <c r="D8" s="8">
        <f>1/7</f>
        <v>0.14285714285714285</v>
      </c>
      <c r="E8" s="8">
        <f>1/7</f>
        <v>0.14285714285714285</v>
      </c>
      <c r="F8" s="8">
        <v>1</v>
      </c>
      <c r="G8" s="8">
        <f>1/3</f>
        <v>0.33333333333333331</v>
      </c>
      <c r="H8" s="8">
        <v>1</v>
      </c>
      <c r="J8" s="9" t="str">
        <f t="shared" si="2"/>
        <v>teh</v>
      </c>
      <c r="K8" s="8">
        <f>1/4</f>
        <v>0.25</v>
      </c>
      <c r="L8" s="8">
        <f>1/3</f>
        <v>0.33333333333333331</v>
      </c>
      <c r="M8" s="8">
        <f>1/2</f>
        <v>0.5</v>
      </c>
      <c r="N8" s="8">
        <v>2</v>
      </c>
      <c r="O8" s="8">
        <v>3</v>
      </c>
      <c r="P8" s="8">
        <v>1</v>
      </c>
      <c r="R8" s="9" t="str">
        <f t="shared" si="3"/>
        <v>teh</v>
      </c>
      <c r="S8" s="8">
        <f>1/4</f>
        <v>0.25</v>
      </c>
      <c r="T8" s="8">
        <f>1/3</f>
        <v>0.33333333333333331</v>
      </c>
      <c r="U8" s="8">
        <f>1/2</f>
        <v>0.5</v>
      </c>
      <c r="V8" s="8">
        <v>2</v>
      </c>
      <c r="W8" s="8">
        <v>2</v>
      </c>
      <c r="X8" s="8">
        <v>1</v>
      </c>
      <c r="Z8" s="9" t="str">
        <f t="shared" si="0"/>
        <v>teh</v>
      </c>
      <c r="AA8" s="8">
        <f t="shared" si="4"/>
        <v>0.27516060407455223</v>
      </c>
      <c r="AB8" s="8">
        <f t="shared" si="1"/>
        <v>0.25131581370971795</v>
      </c>
      <c r="AC8" s="8">
        <f t="shared" si="1"/>
        <v>0.32931687800417475</v>
      </c>
      <c r="AD8" s="8">
        <f t="shared" si="1"/>
        <v>1.5874010519681994</v>
      </c>
      <c r="AE8" s="8">
        <f t="shared" si="1"/>
        <v>1.2599210498948732</v>
      </c>
      <c r="AF8" s="8">
        <f t="shared" si="1"/>
        <v>1</v>
      </c>
    </row>
    <row r="10" spans="2:32" hidden="1" x14ac:dyDescent="0.2">
      <c r="C10" s="8">
        <f>SUM(C3:C8)</f>
        <v>5.0333333333333332</v>
      </c>
      <c r="D10" s="8">
        <f t="shared" ref="D10:H10" si="5">SUM(D3:D8)</f>
        <v>6.6761904761904765</v>
      </c>
      <c r="E10" s="8">
        <f t="shared" si="5"/>
        <v>2.2261904761904763</v>
      </c>
      <c r="F10" s="8">
        <f t="shared" si="5"/>
        <v>13.25</v>
      </c>
      <c r="G10" s="8">
        <f t="shared" si="5"/>
        <v>21.333333333333332</v>
      </c>
      <c r="H10" s="8">
        <f t="shared" si="5"/>
        <v>22</v>
      </c>
      <c r="K10" s="8">
        <f>SUM(K3:K8)</f>
        <v>2.426190476190476</v>
      </c>
      <c r="L10" s="8">
        <f t="shared" ref="L10:P10" si="6">SUM(L3:L8)</f>
        <v>4.25</v>
      </c>
      <c r="M10" s="8">
        <f t="shared" si="6"/>
        <v>7.25</v>
      </c>
      <c r="N10" s="8">
        <f t="shared" si="6"/>
        <v>14.333333333333334</v>
      </c>
      <c r="O10" s="8">
        <f t="shared" si="6"/>
        <v>24</v>
      </c>
      <c r="P10" s="8">
        <f t="shared" si="6"/>
        <v>10.833333333333334</v>
      </c>
      <c r="S10" s="8">
        <f>SUM(S3:S8)</f>
        <v>2.7</v>
      </c>
      <c r="T10" s="8">
        <f t="shared" ref="T10:X10" si="7">SUM(T3:T8)</f>
        <v>4.3666666666666663</v>
      </c>
      <c r="U10" s="8">
        <f t="shared" si="7"/>
        <v>6.333333333333333</v>
      </c>
      <c r="V10" s="8">
        <f t="shared" si="7"/>
        <v>12.5</v>
      </c>
      <c r="W10" s="8">
        <f t="shared" si="7"/>
        <v>18</v>
      </c>
      <c r="X10" s="8">
        <f t="shared" si="7"/>
        <v>11</v>
      </c>
      <c r="AA10" s="8">
        <f>SUM(AA3:AA8)</f>
        <v>3.0696648842132235</v>
      </c>
      <c r="AB10" s="8">
        <f t="shared" ref="AB10:AF10" si="8">SUM(AB3:AB8)</f>
        <v>4.3297775035928137</v>
      </c>
      <c r="AC10" s="8">
        <f t="shared" si="8"/>
        <v>4.3586220138714689</v>
      </c>
      <c r="AD10" s="8">
        <f t="shared" si="8"/>
        <v>12.540459972006357</v>
      </c>
      <c r="AE10" s="8">
        <f t="shared" si="8"/>
        <v>20.211325392933539</v>
      </c>
      <c r="AF10" s="8">
        <f t="shared" si="8"/>
        <v>13.073548416367872</v>
      </c>
    </row>
    <row r="11" spans="2:32" hidden="1" x14ac:dyDescent="0.2"/>
    <row r="12" spans="2:32" hidden="1" x14ac:dyDescent="0.2">
      <c r="C12" s="8">
        <f>C3/C$10</f>
        <v>0.19867549668874174</v>
      </c>
      <c r="D12" s="8">
        <f t="shared" ref="D12:H12" si="9">D3/D$10</f>
        <v>0.14978601997146931</v>
      </c>
      <c r="E12" s="8">
        <f t="shared" si="9"/>
        <v>0.2245989304812834</v>
      </c>
      <c r="F12" s="8">
        <f t="shared" si="9"/>
        <v>0.15094339622641509</v>
      </c>
      <c r="G12" s="8">
        <f t="shared" si="9"/>
        <v>0.234375</v>
      </c>
      <c r="H12" s="8">
        <f t="shared" si="9"/>
        <v>0.13636363636363635</v>
      </c>
      <c r="K12" s="8">
        <f>K3/K$10</f>
        <v>0.4121687929342493</v>
      </c>
      <c r="L12" s="8">
        <f t="shared" ref="L12:P12" si="10">L3/L$10</f>
        <v>0.47058823529411764</v>
      </c>
      <c r="M12" s="8">
        <f t="shared" si="10"/>
        <v>0.41379310344827586</v>
      </c>
      <c r="N12" s="8">
        <f t="shared" si="10"/>
        <v>0.34883720930232559</v>
      </c>
      <c r="O12" s="8">
        <f t="shared" si="10"/>
        <v>0.29166666666666669</v>
      </c>
      <c r="P12" s="8">
        <f t="shared" si="10"/>
        <v>0.3692307692307692</v>
      </c>
      <c r="S12" s="8">
        <f>S3/S$10</f>
        <v>0.37037037037037035</v>
      </c>
      <c r="T12" s="8">
        <f t="shared" ref="T12:X12" si="11">T3/T$10</f>
        <v>0.45801526717557256</v>
      </c>
      <c r="U12" s="8">
        <f t="shared" si="11"/>
        <v>0.31578947368421056</v>
      </c>
      <c r="V12" s="8">
        <f t="shared" si="11"/>
        <v>0.32</v>
      </c>
      <c r="W12" s="8">
        <f t="shared" si="11"/>
        <v>0.27777777777777779</v>
      </c>
      <c r="X12" s="8">
        <f t="shared" si="11"/>
        <v>0.36363636363636365</v>
      </c>
      <c r="AA12" s="8">
        <f>AA3/AA$10</f>
        <v>0.32576845933340604</v>
      </c>
      <c r="AB12" s="8">
        <f t="shared" ref="AB12:AF12" si="12">AB3/AB$10</f>
        <v>0.3666241627083579</v>
      </c>
      <c r="AC12" s="8">
        <f t="shared" si="12"/>
        <v>0.3308957660740936</v>
      </c>
      <c r="AD12" s="8">
        <f t="shared" si="12"/>
        <v>0.27271343323830516</v>
      </c>
      <c r="AE12" s="8">
        <f t="shared" si="12"/>
        <v>0.27674804109396078</v>
      </c>
      <c r="AF12" s="8">
        <f t="shared" si="12"/>
        <v>0.27798429851793471</v>
      </c>
    </row>
    <row r="13" spans="2:32" hidden="1" x14ac:dyDescent="0.2">
      <c r="C13" s="8">
        <f t="shared" ref="C13:H17" si="13">C4/C$10</f>
        <v>0.19867549668874174</v>
      </c>
      <c r="D13" s="8">
        <f t="shared" si="13"/>
        <v>0.14978601997146931</v>
      </c>
      <c r="E13" s="8">
        <f t="shared" si="13"/>
        <v>0.1122994652406417</v>
      </c>
      <c r="F13" s="8">
        <f t="shared" si="13"/>
        <v>0.22641509433962265</v>
      </c>
      <c r="G13" s="8">
        <f t="shared" si="13"/>
        <v>0.234375</v>
      </c>
      <c r="H13" s="8">
        <f t="shared" si="13"/>
        <v>0.31818181818181818</v>
      </c>
      <c r="K13" s="8">
        <f t="shared" ref="K13:P17" si="14">K4/K$10</f>
        <v>0.20608439646712465</v>
      </c>
      <c r="L13" s="8">
        <f t="shared" si="14"/>
        <v>0.23529411764705882</v>
      </c>
      <c r="M13" s="8">
        <f t="shared" si="14"/>
        <v>0.27586206896551724</v>
      </c>
      <c r="N13" s="8">
        <f t="shared" si="14"/>
        <v>0.27906976744186046</v>
      </c>
      <c r="O13" s="8">
        <f t="shared" si="14"/>
        <v>0.25</v>
      </c>
      <c r="P13" s="8">
        <f t="shared" si="14"/>
        <v>0.27692307692307688</v>
      </c>
      <c r="S13" s="8">
        <f t="shared" ref="S13:X17" si="15">S4/S$10</f>
        <v>0.18518518518518517</v>
      </c>
      <c r="T13" s="8">
        <f t="shared" si="15"/>
        <v>0.22900763358778628</v>
      </c>
      <c r="U13" s="8">
        <f t="shared" si="15"/>
        <v>0.31578947368421056</v>
      </c>
      <c r="V13" s="8">
        <f t="shared" si="15"/>
        <v>0.24</v>
      </c>
      <c r="W13" s="8">
        <f t="shared" si="15"/>
        <v>0.27777777777777779</v>
      </c>
      <c r="X13" s="8">
        <f t="shared" si="15"/>
        <v>0.27272727272727271</v>
      </c>
      <c r="AA13" s="8">
        <f t="shared" ref="AA13:AF17" si="16">AA4/AA$10</f>
        <v>0.20522126965299012</v>
      </c>
      <c r="AB13" s="8">
        <f t="shared" si="16"/>
        <v>0.23095874999817156</v>
      </c>
      <c r="AC13" s="8">
        <f t="shared" si="16"/>
        <v>0.22943031004236306</v>
      </c>
      <c r="AD13" s="8">
        <f t="shared" si="16"/>
        <v>0.26330192483093978</v>
      </c>
      <c r="AE13" s="8">
        <f t="shared" si="16"/>
        <v>0.26288690833559764</v>
      </c>
      <c r="AF13" s="8">
        <f t="shared" si="16"/>
        <v>0.30435938898690096</v>
      </c>
    </row>
    <row r="14" spans="2:32" hidden="1" x14ac:dyDescent="0.2">
      <c r="C14" s="8">
        <f t="shared" si="13"/>
        <v>0.39735099337748347</v>
      </c>
      <c r="D14" s="8">
        <f t="shared" si="13"/>
        <v>0.59914407988587726</v>
      </c>
      <c r="E14" s="8">
        <f t="shared" si="13"/>
        <v>0.44919786096256681</v>
      </c>
      <c r="F14" s="8">
        <f t="shared" si="13"/>
        <v>0.45283018867924529</v>
      </c>
      <c r="G14" s="8">
        <f t="shared" si="13"/>
        <v>0.28125</v>
      </c>
      <c r="H14" s="8">
        <f t="shared" si="13"/>
        <v>0.31818181818181818</v>
      </c>
      <c r="K14" s="8">
        <f t="shared" si="14"/>
        <v>0.13738959764474976</v>
      </c>
      <c r="L14" s="8">
        <f t="shared" si="14"/>
        <v>0.11764705882352941</v>
      </c>
      <c r="M14" s="8">
        <f t="shared" si="14"/>
        <v>0.13793103448275862</v>
      </c>
      <c r="N14" s="8">
        <f t="shared" si="14"/>
        <v>0.13953488372093023</v>
      </c>
      <c r="O14" s="8">
        <f t="shared" si="14"/>
        <v>0.16666666666666666</v>
      </c>
      <c r="P14" s="8">
        <f t="shared" si="14"/>
        <v>0.1846153846153846</v>
      </c>
      <c r="S14" s="8">
        <f t="shared" si="15"/>
        <v>0.18518518518518517</v>
      </c>
      <c r="T14" s="8">
        <f t="shared" si="15"/>
        <v>0.11450381679389314</v>
      </c>
      <c r="U14" s="8">
        <f t="shared" si="15"/>
        <v>0.15789473684210528</v>
      </c>
      <c r="V14" s="8">
        <f t="shared" si="15"/>
        <v>0.16</v>
      </c>
      <c r="W14" s="8">
        <f t="shared" si="15"/>
        <v>0.16666666666666666</v>
      </c>
      <c r="X14" s="8">
        <f t="shared" si="15"/>
        <v>0.18181818181818182</v>
      </c>
      <c r="AA14" s="8">
        <f t="shared" si="16"/>
        <v>0.22587523410665331</v>
      </c>
      <c r="AB14" s="8">
        <f t="shared" si="16"/>
        <v>0.23095874999817156</v>
      </c>
      <c r="AC14" s="8">
        <f t="shared" si="16"/>
        <v>0.22943031004236306</v>
      </c>
      <c r="AD14" s="8">
        <f t="shared" si="16"/>
        <v>0.23001541785977439</v>
      </c>
      <c r="AE14" s="8">
        <f t="shared" si="16"/>
        <v>0.20583349014599125</v>
      </c>
      <c r="AF14" s="8">
        <f t="shared" si="16"/>
        <v>0.23226968495209013</v>
      </c>
    </row>
    <row r="15" spans="2:32" hidden="1" x14ac:dyDescent="0.2">
      <c r="C15" s="8">
        <f t="shared" si="13"/>
        <v>9.9337748344370869E-2</v>
      </c>
      <c r="D15" s="8">
        <f t="shared" si="13"/>
        <v>4.9928673323823107E-2</v>
      </c>
      <c r="E15" s="8">
        <f t="shared" si="13"/>
        <v>7.4866310160427801E-2</v>
      </c>
      <c r="F15" s="8">
        <f t="shared" si="13"/>
        <v>7.5471698113207544E-2</v>
      </c>
      <c r="G15" s="8">
        <f t="shared" si="13"/>
        <v>0.1875</v>
      </c>
      <c r="H15" s="8">
        <f t="shared" si="13"/>
        <v>4.5454545454545456E-2</v>
      </c>
      <c r="K15" s="8">
        <f t="shared" si="14"/>
        <v>8.243375858684987E-2</v>
      </c>
      <c r="L15" s="8">
        <f t="shared" si="14"/>
        <v>5.8823529411764705E-2</v>
      </c>
      <c r="M15" s="8">
        <f t="shared" si="14"/>
        <v>6.8965517241379309E-2</v>
      </c>
      <c r="N15" s="8">
        <f t="shared" si="14"/>
        <v>6.9767441860465115E-2</v>
      </c>
      <c r="O15" s="8">
        <f t="shared" si="14"/>
        <v>0.125</v>
      </c>
      <c r="P15" s="8">
        <f t="shared" si="14"/>
        <v>4.6153846153846149E-2</v>
      </c>
      <c r="S15" s="8">
        <f t="shared" si="15"/>
        <v>9.2592592592592587E-2</v>
      </c>
      <c r="T15" s="8">
        <f t="shared" si="15"/>
        <v>7.6335877862595422E-2</v>
      </c>
      <c r="U15" s="8">
        <f t="shared" si="15"/>
        <v>7.8947368421052641E-2</v>
      </c>
      <c r="V15" s="8">
        <f t="shared" si="15"/>
        <v>0.08</v>
      </c>
      <c r="W15" s="8">
        <f t="shared" si="15"/>
        <v>0.1111111111111111</v>
      </c>
      <c r="X15" s="8">
        <f t="shared" si="15"/>
        <v>4.5454545454545456E-2</v>
      </c>
      <c r="AA15" s="8">
        <f t="shared" si="16"/>
        <v>9.5255275364115599E-2</v>
      </c>
      <c r="AB15" s="8">
        <f t="shared" si="16"/>
        <v>6.9946650119407899E-2</v>
      </c>
      <c r="AC15" s="8">
        <f t="shared" si="16"/>
        <v>7.9539046072817032E-2</v>
      </c>
      <c r="AD15" s="8">
        <f t="shared" si="16"/>
        <v>7.9741891623773459E-2</v>
      </c>
      <c r="AE15" s="8">
        <f t="shared" si="16"/>
        <v>0.14271697103166331</v>
      </c>
      <c r="AF15" s="8">
        <f t="shared" si="16"/>
        <v>4.8185886867465617E-2</v>
      </c>
    </row>
    <row r="16" spans="2:32" hidden="1" x14ac:dyDescent="0.2">
      <c r="C16" s="8">
        <f t="shared" si="13"/>
        <v>3.9735099337748346E-2</v>
      </c>
      <c r="D16" s="8">
        <f t="shared" si="13"/>
        <v>2.9957203994293868E-2</v>
      </c>
      <c r="E16" s="8">
        <f t="shared" si="13"/>
        <v>7.4866310160427801E-2</v>
      </c>
      <c r="F16" s="8">
        <f t="shared" si="13"/>
        <v>1.8867924528301886E-2</v>
      </c>
      <c r="G16" s="8">
        <f t="shared" si="13"/>
        <v>4.6875E-2</v>
      </c>
      <c r="H16" s="8">
        <f t="shared" si="13"/>
        <v>0.13636363636363635</v>
      </c>
      <c r="K16" s="8">
        <f t="shared" si="14"/>
        <v>5.8881256133464184E-2</v>
      </c>
      <c r="L16" s="8">
        <f t="shared" si="14"/>
        <v>3.9215686274509803E-2</v>
      </c>
      <c r="M16" s="8">
        <f t="shared" si="14"/>
        <v>3.4482758620689655E-2</v>
      </c>
      <c r="N16" s="8">
        <f t="shared" si="14"/>
        <v>2.3255813953488368E-2</v>
      </c>
      <c r="O16" s="8">
        <f t="shared" si="14"/>
        <v>4.1666666666666664E-2</v>
      </c>
      <c r="P16" s="8">
        <f t="shared" si="14"/>
        <v>3.0769230769230767E-2</v>
      </c>
      <c r="S16" s="8">
        <f t="shared" si="15"/>
        <v>7.407407407407407E-2</v>
      </c>
      <c r="T16" s="8">
        <f t="shared" si="15"/>
        <v>4.5801526717557259E-2</v>
      </c>
      <c r="U16" s="8">
        <f t="shared" si="15"/>
        <v>5.2631578947368418E-2</v>
      </c>
      <c r="V16" s="8">
        <f t="shared" si="15"/>
        <v>0.04</v>
      </c>
      <c r="W16" s="8">
        <f t="shared" si="15"/>
        <v>5.5555555555555552E-2</v>
      </c>
      <c r="X16" s="8">
        <f t="shared" si="15"/>
        <v>4.5454545454545456E-2</v>
      </c>
      <c r="AA16" s="8">
        <f t="shared" si="16"/>
        <v>5.8241115484218821E-2</v>
      </c>
      <c r="AB16" s="8">
        <f t="shared" si="16"/>
        <v>4.3468100986721124E-2</v>
      </c>
      <c r="AC16" s="8">
        <f t="shared" si="16"/>
        <v>5.5149294345682269E-2</v>
      </c>
      <c r="AD16" s="8">
        <f t="shared" si="16"/>
        <v>2.7644969797694881E-2</v>
      </c>
      <c r="AE16" s="8">
        <f t="shared" si="16"/>
        <v>4.9477210452988342E-2</v>
      </c>
      <c r="AF16" s="8">
        <f t="shared" si="16"/>
        <v>6.0710413172172864E-2</v>
      </c>
    </row>
    <row r="17" spans="3:32" hidden="1" x14ac:dyDescent="0.2">
      <c r="C17" s="8">
        <f t="shared" si="13"/>
        <v>6.6225165562913899E-2</v>
      </c>
      <c r="D17" s="8">
        <f t="shared" si="13"/>
        <v>2.1398002853067043E-2</v>
      </c>
      <c r="E17" s="8">
        <f t="shared" si="13"/>
        <v>6.4171122994652399E-2</v>
      </c>
      <c r="F17" s="8">
        <f t="shared" si="13"/>
        <v>7.5471698113207544E-2</v>
      </c>
      <c r="G17" s="8">
        <f t="shared" si="13"/>
        <v>1.5625E-2</v>
      </c>
      <c r="H17" s="8">
        <f t="shared" si="13"/>
        <v>4.5454545454545456E-2</v>
      </c>
      <c r="K17" s="8">
        <f t="shared" si="14"/>
        <v>0.10304219823356232</v>
      </c>
      <c r="L17" s="8">
        <f t="shared" si="14"/>
        <v>7.8431372549019607E-2</v>
      </c>
      <c r="M17" s="8">
        <f t="shared" si="14"/>
        <v>6.8965517241379309E-2</v>
      </c>
      <c r="N17" s="8">
        <f t="shared" si="14"/>
        <v>0.13953488372093023</v>
      </c>
      <c r="O17" s="8">
        <f t="shared" si="14"/>
        <v>0.125</v>
      </c>
      <c r="P17" s="8">
        <f t="shared" si="14"/>
        <v>9.2307692307692299E-2</v>
      </c>
      <c r="S17" s="8">
        <f t="shared" si="15"/>
        <v>9.2592592592592587E-2</v>
      </c>
      <c r="T17" s="8">
        <f t="shared" si="15"/>
        <v>7.6335877862595422E-2</v>
      </c>
      <c r="U17" s="8">
        <f t="shared" si="15"/>
        <v>7.8947368421052641E-2</v>
      </c>
      <c r="V17" s="8">
        <f t="shared" si="15"/>
        <v>0.16</v>
      </c>
      <c r="W17" s="8">
        <f t="shared" si="15"/>
        <v>0.1111111111111111</v>
      </c>
      <c r="X17" s="8">
        <f t="shared" si="15"/>
        <v>9.0909090909090912E-2</v>
      </c>
      <c r="AA17" s="8">
        <f t="shared" si="16"/>
        <v>8.9638646058616198E-2</v>
      </c>
      <c r="AB17" s="8">
        <f t="shared" si="16"/>
        <v>5.8043586189169806E-2</v>
      </c>
      <c r="AC17" s="8">
        <f t="shared" si="16"/>
        <v>7.5555273422680869E-2</v>
      </c>
      <c r="AD17" s="8">
        <f t="shared" si="16"/>
        <v>0.12658236264951214</v>
      </c>
      <c r="AE17" s="8">
        <f t="shared" si="16"/>
        <v>6.2337378939798668E-2</v>
      </c>
      <c r="AF17" s="8">
        <f t="shared" si="16"/>
        <v>7.6490327503435568E-2</v>
      </c>
    </row>
    <row r="19" spans="3:32" x14ac:dyDescent="0.2">
      <c r="F19" s="8" t="str">
        <f t="shared" ref="F19:F24" si="17">B3</f>
        <v>fin</v>
      </c>
      <c r="G19" s="8">
        <f>AVERAGE(C12:H12)</f>
        <v>0.18245707995525764</v>
      </c>
      <c r="N19" s="8" t="str">
        <f t="shared" ref="N19:N24" si="18">J3</f>
        <v>fin</v>
      </c>
      <c r="O19" s="8">
        <f>AVERAGE(K12:P12)</f>
        <v>0.3843807961460674</v>
      </c>
      <c r="V19" s="8" t="str">
        <f t="shared" ref="V19:V24" si="19">R3</f>
        <v>fin</v>
      </c>
      <c r="W19" s="8">
        <f>AVERAGE(S12:X12)</f>
        <v>0.35093154210738248</v>
      </c>
      <c r="AD19" s="8" t="str">
        <f t="shared" ref="AD19:AD24" si="20">Z3</f>
        <v>fin</v>
      </c>
      <c r="AE19" s="11">
        <f>AVERAGE(AA12:AF12)</f>
        <v>0.30845569349434304</v>
      </c>
    </row>
    <row r="20" spans="3:32" x14ac:dyDescent="0.2">
      <c r="F20" s="8" t="str">
        <f t="shared" si="17"/>
        <v>rep</v>
      </c>
      <c r="G20" s="8">
        <f t="shared" ref="G20:G24" si="21">AVERAGE(C13:H13)</f>
        <v>0.20662214907038226</v>
      </c>
      <c r="N20" s="8" t="str">
        <f t="shared" si="18"/>
        <v>rep</v>
      </c>
      <c r="O20" s="8">
        <f t="shared" ref="O20:O24" si="22">AVERAGE(K13:P13)</f>
        <v>0.25387223790743968</v>
      </c>
      <c r="V20" s="8" t="str">
        <f t="shared" si="19"/>
        <v>rep</v>
      </c>
      <c r="W20" s="8">
        <f t="shared" ref="W20:W24" si="23">AVERAGE(S13:X13)</f>
        <v>0.25341455716037203</v>
      </c>
      <c r="AD20" s="8" t="str">
        <f t="shared" si="20"/>
        <v>rep</v>
      </c>
      <c r="AE20" s="11">
        <f t="shared" ref="AE20:AE24" si="24">AVERAGE(AA13:AF13)</f>
        <v>0.24935975864116053</v>
      </c>
    </row>
    <row r="21" spans="3:32" x14ac:dyDescent="0.2">
      <c r="F21" s="8" t="str">
        <f t="shared" si="17"/>
        <v>zad</v>
      </c>
      <c r="G21" s="8">
        <f t="shared" si="21"/>
        <v>0.41632582351449848</v>
      </c>
      <c r="N21" s="8" t="str">
        <f t="shared" si="18"/>
        <v>zad</v>
      </c>
      <c r="O21" s="8">
        <f t="shared" si="22"/>
        <v>0.14729743765900322</v>
      </c>
      <c r="V21" s="8" t="str">
        <f t="shared" si="19"/>
        <v>zad</v>
      </c>
      <c r="W21" s="8">
        <f t="shared" si="23"/>
        <v>0.16101143121767203</v>
      </c>
      <c r="AD21" s="8" t="str">
        <f t="shared" si="20"/>
        <v>zad</v>
      </c>
      <c r="AE21" s="11">
        <f t="shared" si="24"/>
        <v>0.22573048118417396</v>
      </c>
    </row>
    <row r="22" spans="3:32" x14ac:dyDescent="0.2">
      <c r="F22" s="8" t="str">
        <f t="shared" si="17"/>
        <v>ubrz</v>
      </c>
      <c r="G22" s="8">
        <f t="shared" si="21"/>
        <v>8.8759829232729126E-2</v>
      </c>
      <c r="N22" s="8" t="str">
        <f t="shared" si="18"/>
        <v>ubrz</v>
      </c>
      <c r="O22" s="8">
        <f t="shared" si="22"/>
        <v>7.5190682209050855E-2</v>
      </c>
      <c r="V22" s="8" t="str">
        <f t="shared" si="19"/>
        <v>ubrz</v>
      </c>
      <c r="W22" s="8">
        <f t="shared" si="23"/>
        <v>8.0740249240316211E-2</v>
      </c>
      <c r="AD22" s="8" t="str">
        <f t="shared" si="20"/>
        <v>ubrz</v>
      </c>
      <c r="AE22" s="11">
        <f t="shared" si="24"/>
        <v>8.5897620179873832E-2</v>
      </c>
    </row>
    <row r="23" spans="3:32" x14ac:dyDescent="0.2">
      <c r="F23" s="8" t="str">
        <f t="shared" si="17"/>
        <v>ljudi</v>
      </c>
      <c r="G23" s="8">
        <f t="shared" si="21"/>
        <v>5.7777529064068044E-2</v>
      </c>
      <c r="N23" s="8" t="str">
        <f t="shared" si="18"/>
        <v>ljudi</v>
      </c>
      <c r="O23" s="8">
        <f t="shared" si="22"/>
        <v>3.8045235403008235E-2</v>
      </c>
      <c r="V23" s="8" t="str">
        <f t="shared" si="19"/>
        <v>ljudi</v>
      </c>
      <c r="W23" s="8">
        <f t="shared" si="23"/>
        <v>5.2252880124850132E-2</v>
      </c>
      <c r="AD23" s="8" t="str">
        <f t="shared" si="20"/>
        <v>ljudi</v>
      </c>
      <c r="AE23" s="11">
        <f t="shared" si="24"/>
        <v>4.9115184039913051E-2</v>
      </c>
    </row>
    <row r="24" spans="3:32" x14ac:dyDescent="0.2">
      <c r="F24" s="8" t="str">
        <f t="shared" si="17"/>
        <v>teh</v>
      </c>
      <c r="G24" s="8">
        <f t="shared" si="21"/>
        <v>4.8057589163064386E-2</v>
      </c>
      <c r="N24" s="8" t="str">
        <f t="shared" si="18"/>
        <v>teh</v>
      </c>
      <c r="O24" s="8">
        <f t="shared" si="22"/>
        <v>0.10121361067543062</v>
      </c>
      <c r="V24" s="8" t="str">
        <f t="shared" si="19"/>
        <v>teh</v>
      </c>
      <c r="W24" s="8">
        <f t="shared" si="23"/>
        <v>0.10164934014940713</v>
      </c>
      <c r="AD24" s="8" t="str">
        <f t="shared" si="20"/>
        <v>teh</v>
      </c>
      <c r="AE24" s="11">
        <f t="shared" si="24"/>
        <v>8.1441262460535555E-2</v>
      </c>
    </row>
    <row r="26" spans="3:32" hidden="1" x14ac:dyDescent="0.2">
      <c r="C26" s="8">
        <f>C3*G$19</f>
        <v>0.18245707995525764</v>
      </c>
      <c r="D26" s="8">
        <f>D3*G$20</f>
        <v>0.20662214907038226</v>
      </c>
      <c r="E26" s="8">
        <f>E3*G$21</f>
        <v>0.20816291175724924</v>
      </c>
      <c r="F26" s="8">
        <f>F3*G$22</f>
        <v>0.17751965846545825</v>
      </c>
      <c r="G26" s="8">
        <f>G3*G$23</f>
        <v>0.28888764532034023</v>
      </c>
      <c r="H26" s="8">
        <f>G$24*H3</f>
        <v>0.14417276748919317</v>
      </c>
      <c r="K26" s="8">
        <f>K3*O$19</f>
        <v>0.3843807961460674</v>
      </c>
      <c r="L26" s="8">
        <f>L3*O$20</f>
        <v>0.50774447581487936</v>
      </c>
      <c r="M26" s="8">
        <f>M3*O$21</f>
        <v>0.44189231297700965</v>
      </c>
      <c r="N26" s="8">
        <f>N3*O$22</f>
        <v>0.37595341104525426</v>
      </c>
      <c r="O26" s="8">
        <f>O3*O$23</f>
        <v>0.26631664782105763</v>
      </c>
      <c r="P26" s="8">
        <f>O$24*P3</f>
        <v>0.40485444270172249</v>
      </c>
      <c r="S26" s="8">
        <f>S3*W$19</f>
        <v>0.35093154210738248</v>
      </c>
      <c r="T26" s="8">
        <f>T3*W$20</f>
        <v>0.50682911432074407</v>
      </c>
      <c r="U26" s="8">
        <f>U3*W$21</f>
        <v>0.32202286243534406</v>
      </c>
      <c r="V26" s="8">
        <f>V3*W$22</f>
        <v>0.32296099696126485</v>
      </c>
      <c r="W26" s="8">
        <f>W3*W$23</f>
        <v>0.26126440062425066</v>
      </c>
      <c r="X26" s="8">
        <f>W$24*X3</f>
        <v>0.40659736059762852</v>
      </c>
      <c r="AA26" s="8">
        <f>AA3*AE$19</f>
        <v>0.30845569349434304</v>
      </c>
      <c r="AB26" s="8">
        <f>AB3*AE$20</f>
        <v>0.39583394318551451</v>
      </c>
      <c r="AC26" s="8">
        <f>AC3*AE$21</f>
        <v>0.32555968949315939</v>
      </c>
      <c r="AD26" s="8">
        <f>AD3*AE$22</f>
        <v>0.29376572876871021</v>
      </c>
      <c r="AE26" s="8">
        <f>AE3*AE$23</f>
        <v>0.27472306636871718</v>
      </c>
      <c r="AF26" s="8">
        <f>AE$24*AF3</f>
        <v>0.29597719024657249</v>
      </c>
    </row>
    <row r="27" spans="3:32" hidden="1" x14ac:dyDescent="0.2">
      <c r="C27" s="8">
        <f t="shared" ref="C27:C31" si="25">C4*G$19</f>
        <v>0.18245707995525764</v>
      </c>
      <c r="D27" s="8">
        <f t="shared" ref="D27:D31" si="26">D4*G$20</f>
        <v>0.20662214907038226</v>
      </c>
      <c r="E27" s="8">
        <f t="shared" ref="E27:E31" si="27">E4*G$21</f>
        <v>0.10408145587862462</v>
      </c>
      <c r="F27" s="8">
        <f t="shared" ref="F27:F31" si="28">F4*G$22</f>
        <v>0.26627948769818738</v>
      </c>
      <c r="G27" s="8">
        <f t="shared" ref="G27:G31" si="29">G4*G$23</f>
        <v>0.28888764532034023</v>
      </c>
      <c r="H27" s="8">
        <f t="shared" ref="H27:H31" si="30">G$24*H4</f>
        <v>0.33640312414145068</v>
      </c>
      <c r="K27" s="8">
        <f t="shared" ref="K27:K31" si="31">K4*O$19</f>
        <v>0.1921903980730337</v>
      </c>
      <c r="L27" s="8">
        <f t="shared" ref="L27:L31" si="32">L4*O$20</f>
        <v>0.25387223790743968</v>
      </c>
      <c r="M27" s="8">
        <f t="shared" ref="M27:M31" si="33">M4*O$21</f>
        <v>0.29459487531800643</v>
      </c>
      <c r="N27" s="8">
        <f t="shared" ref="N27:N31" si="34">N4*O$22</f>
        <v>0.30076272883620342</v>
      </c>
      <c r="O27" s="8">
        <f t="shared" ref="O27:O31" si="35">O4*O$23</f>
        <v>0.22827141241804941</v>
      </c>
      <c r="P27" s="8">
        <f t="shared" ref="P27:P31" si="36">O$24*P4</f>
        <v>0.30364083202629188</v>
      </c>
      <c r="S27" s="8">
        <f t="shared" ref="S27:S31" si="37">S4*W$19</f>
        <v>0.17546577105369124</v>
      </c>
      <c r="T27" s="8">
        <f t="shared" ref="T27:T31" si="38">T4*W$20</f>
        <v>0.25341455716037203</v>
      </c>
      <c r="U27" s="8">
        <f t="shared" ref="U27:U31" si="39">U4*W$21</f>
        <v>0.32202286243534406</v>
      </c>
      <c r="V27" s="8">
        <f t="shared" ref="V27:V31" si="40">V4*W$22</f>
        <v>0.24222074772094865</v>
      </c>
      <c r="W27" s="8">
        <f t="shared" ref="W27:W31" si="41">W4*W$23</f>
        <v>0.26126440062425066</v>
      </c>
      <c r="X27" s="8">
        <f t="shared" ref="X27:X31" si="42">W$24*X4</f>
        <v>0.30494802044822139</v>
      </c>
      <c r="AA27" s="8">
        <f t="shared" ref="AA27:AA31" si="43">AA4*AE$19</f>
        <v>0.19431491059672196</v>
      </c>
      <c r="AB27" s="8">
        <f t="shared" ref="AB27:AB31" si="44">AB4*AE$20</f>
        <v>0.24935975864116053</v>
      </c>
      <c r="AC27" s="8">
        <f t="shared" ref="AC27:AC31" si="45">AC4*AE$21</f>
        <v>0.22573048118417396</v>
      </c>
      <c r="AD27" s="8">
        <f t="shared" ref="AD27:AD31" si="46">AD4*AE$22</f>
        <v>0.2836276926871264</v>
      </c>
      <c r="AE27" s="8">
        <f t="shared" ref="AE27:AE31" si="47">AE4*AE$23</f>
        <v>0.26096335598497311</v>
      </c>
      <c r="AF27" s="8">
        <f t="shared" ref="AF27:AF31" si="48">AE$24*AF4</f>
        <v>0.32405944241377588</v>
      </c>
    </row>
    <row r="28" spans="3:32" hidden="1" x14ac:dyDescent="0.2">
      <c r="C28" s="8">
        <f t="shared" si="25"/>
        <v>0.36491415991051529</v>
      </c>
      <c r="D28" s="8">
        <f t="shared" si="26"/>
        <v>0.82648859628152904</v>
      </c>
      <c r="E28" s="8">
        <f t="shared" si="27"/>
        <v>0.41632582351449848</v>
      </c>
      <c r="F28" s="8">
        <f t="shared" si="28"/>
        <v>0.53255897539637476</v>
      </c>
      <c r="G28" s="8">
        <f t="shared" si="29"/>
        <v>0.34666517438440825</v>
      </c>
      <c r="H28" s="8">
        <f t="shared" si="30"/>
        <v>0.33640312414145068</v>
      </c>
      <c r="K28" s="8">
        <f t="shared" si="31"/>
        <v>0.12812693204868913</v>
      </c>
      <c r="L28" s="8">
        <f t="shared" si="32"/>
        <v>0.12693611895371984</v>
      </c>
      <c r="M28" s="8">
        <f t="shared" si="33"/>
        <v>0.14729743765900322</v>
      </c>
      <c r="N28" s="8">
        <f t="shared" si="34"/>
        <v>0.15038136441810171</v>
      </c>
      <c r="O28" s="8">
        <f t="shared" si="35"/>
        <v>0.15218094161203294</v>
      </c>
      <c r="P28" s="8">
        <f t="shared" si="36"/>
        <v>0.20242722135086125</v>
      </c>
      <c r="S28" s="8">
        <f t="shared" si="37"/>
        <v>0.17546577105369124</v>
      </c>
      <c r="T28" s="8">
        <f t="shared" si="38"/>
        <v>0.12670727858018602</v>
      </c>
      <c r="U28" s="8">
        <f t="shared" si="39"/>
        <v>0.16101143121767203</v>
      </c>
      <c r="V28" s="8">
        <f t="shared" si="40"/>
        <v>0.16148049848063242</v>
      </c>
      <c r="W28" s="8">
        <f t="shared" si="41"/>
        <v>0.1567586403745504</v>
      </c>
      <c r="X28" s="8">
        <f t="shared" si="42"/>
        <v>0.20329868029881426</v>
      </c>
      <c r="AA28" s="8">
        <f t="shared" si="43"/>
        <v>0.21387123272194647</v>
      </c>
      <c r="AB28" s="8">
        <f t="shared" si="44"/>
        <v>0.24935975864116053</v>
      </c>
      <c r="AC28" s="8">
        <f t="shared" si="45"/>
        <v>0.22573048118417396</v>
      </c>
      <c r="AD28" s="8">
        <f t="shared" si="46"/>
        <v>0.24777161158970401</v>
      </c>
      <c r="AE28" s="8">
        <f t="shared" si="47"/>
        <v>0.2043273995752804</v>
      </c>
      <c r="AF28" s="8">
        <f t="shared" si="48"/>
        <v>0.24730363944329367</v>
      </c>
    </row>
    <row r="29" spans="3:32" hidden="1" x14ac:dyDescent="0.2">
      <c r="C29" s="8">
        <f t="shared" si="25"/>
        <v>9.1228539977628822E-2</v>
      </c>
      <c r="D29" s="8">
        <f t="shared" si="26"/>
        <v>6.887404969012742E-2</v>
      </c>
      <c r="E29" s="8">
        <f t="shared" si="27"/>
        <v>6.9387637252416409E-2</v>
      </c>
      <c r="F29" s="8">
        <f t="shared" si="28"/>
        <v>8.8759829232729126E-2</v>
      </c>
      <c r="G29" s="8">
        <f t="shared" si="29"/>
        <v>0.23111011625627217</v>
      </c>
      <c r="H29" s="8">
        <f t="shared" si="30"/>
        <v>4.8057589163064386E-2</v>
      </c>
      <c r="K29" s="8">
        <f t="shared" si="31"/>
        <v>7.6876159229213481E-2</v>
      </c>
      <c r="L29" s="8">
        <f t="shared" si="32"/>
        <v>6.346805947685992E-2</v>
      </c>
      <c r="M29" s="8">
        <f t="shared" si="33"/>
        <v>7.3648718829501608E-2</v>
      </c>
      <c r="N29" s="8">
        <f t="shared" si="34"/>
        <v>7.5190682209050855E-2</v>
      </c>
      <c r="O29" s="8">
        <f t="shared" si="35"/>
        <v>0.1141357062090247</v>
      </c>
      <c r="P29" s="8">
        <f t="shared" si="36"/>
        <v>5.0606805337715312E-2</v>
      </c>
      <c r="S29" s="8">
        <f t="shared" si="37"/>
        <v>8.7732885526845619E-2</v>
      </c>
      <c r="T29" s="8">
        <f t="shared" si="38"/>
        <v>8.4471519053457345E-2</v>
      </c>
      <c r="U29" s="8">
        <f t="shared" si="39"/>
        <v>8.0505715608836015E-2</v>
      </c>
      <c r="V29" s="8">
        <f t="shared" si="40"/>
        <v>8.0740249240316211E-2</v>
      </c>
      <c r="W29" s="8">
        <f t="shared" si="41"/>
        <v>0.10450576024970026</v>
      </c>
      <c r="X29" s="8">
        <f t="shared" si="42"/>
        <v>5.0824670074703565E-2</v>
      </c>
      <c r="AA29" s="8">
        <f t="shared" si="43"/>
        <v>9.0192991923021007E-2</v>
      </c>
      <c r="AB29" s="8">
        <f t="shared" si="44"/>
        <v>7.5519458741750811E-2</v>
      </c>
      <c r="AC29" s="8">
        <f t="shared" si="45"/>
        <v>7.8256387046820405E-2</v>
      </c>
      <c r="AD29" s="8">
        <f t="shared" si="46"/>
        <v>8.5897620179873832E-2</v>
      </c>
      <c r="AE29" s="8">
        <f t="shared" si="47"/>
        <v>0.14167270615426775</v>
      </c>
      <c r="AF29" s="8">
        <f t="shared" si="48"/>
        <v>5.1304780452020943E-2</v>
      </c>
    </row>
    <row r="30" spans="3:32" hidden="1" x14ac:dyDescent="0.2">
      <c r="C30" s="8">
        <f t="shared" si="25"/>
        <v>3.6491415991051532E-2</v>
      </c>
      <c r="D30" s="8">
        <f t="shared" si="26"/>
        <v>4.1324429814076455E-2</v>
      </c>
      <c r="E30" s="8">
        <f t="shared" si="27"/>
        <v>6.9387637252416409E-2</v>
      </c>
      <c r="F30" s="8">
        <f t="shared" si="28"/>
        <v>2.2189957308182282E-2</v>
      </c>
      <c r="G30" s="8">
        <f t="shared" si="29"/>
        <v>5.7777529064068044E-2</v>
      </c>
      <c r="H30" s="8">
        <f t="shared" si="30"/>
        <v>0.14417276748919317</v>
      </c>
      <c r="K30" s="8">
        <f t="shared" si="31"/>
        <v>5.4911542306581053E-2</v>
      </c>
      <c r="L30" s="8">
        <f t="shared" si="32"/>
        <v>4.2312039651239947E-2</v>
      </c>
      <c r="M30" s="8">
        <f t="shared" si="33"/>
        <v>3.6824359414750804E-2</v>
      </c>
      <c r="N30" s="8">
        <f t="shared" si="34"/>
        <v>2.5063560736350285E-2</v>
      </c>
      <c r="O30" s="8">
        <f t="shared" si="35"/>
        <v>3.8045235403008235E-2</v>
      </c>
      <c r="P30" s="8">
        <f t="shared" si="36"/>
        <v>3.3737870225143539E-2</v>
      </c>
      <c r="S30" s="8">
        <f t="shared" si="37"/>
        <v>7.0186308421476495E-2</v>
      </c>
      <c r="T30" s="8">
        <f t="shared" si="38"/>
        <v>5.0682911432074408E-2</v>
      </c>
      <c r="U30" s="8">
        <f t="shared" si="39"/>
        <v>5.3670477072557343E-2</v>
      </c>
      <c r="V30" s="8">
        <f t="shared" si="40"/>
        <v>4.0370124620158106E-2</v>
      </c>
      <c r="W30" s="8">
        <f t="shared" si="41"/>
        <v>5.2252880124850132E-2</v>
      </c>
      <c r="X30" s="8">
        <f t="shared" si="42"/>
        <v>5.0824670074703565E-2</v>
      </c>
      <c r="AA30" s="8">
        <f t="shared" si="43"/>
        <v>5.5145926967051319E-2</v>
      </c>
      <c r="AB30" s="8">
        <f t="shared" si="44"/>
        <v>4.693130340688189E-2</v>
      </c>
      <c r="AC30" s="8">
        <f t="shared" si="45"/>
        <v>5.4259948248859907E-2</v>
      </c>
      <c r="AD30" s="8">
        <f t="shared" si="46"/>
        <v>2.9779041695802057E-2</v>
      </c>
      <c r="AE30" s="8">
        <f t="shared" si="47"/>
        <v>4.9115184039913051E-2</v>
      </c>
      <c r="AF30" s="8">
        <f t="shared" si="48"/>
        <v>6.4639972851736185E-2</v>
      </c>
    </row>
    <row r="31" spans="3:32" hidden="1" x14ac:dyDescent="0.2">
      <c r="C31" s="8">
        <f t="shared" si="25"/>
        <v>6.0819026651752546E-2</v>
      </c>
      <c r="D31" s="8">
        <f t="shared" si="26"/>
        <v>2.9517449867197464E-2</v>
      </c>
      <c r="E31" s="8">
        <f t="shared" si="27"/>
        <v>5.9475117644928355E-2</v>
      </c>
      <c r="F31" s="8">
        <f t="shared" si="28"/>
        <v>8.8759829232729126E-2</v>
      </c>
      <c r="G31" s="8">
        <f t="shared" si="29"/>
        <v>1.9259176354689347E-2</v>
      </c>
      <c r="H31" s="8">
        <f t="shared" si="30"/>
        <v>4.8057589163064386E-2</v>
      </c>
      <c r="K31" s="8">
        <f t="shared" si="31"/>
        <v>9.6095199036516851E-2</v>
      </c>
      <c r="L31" s="8">
        <f t="shared" si="32"/>
        <v>8.4624079302479893E-2</v>
      </c>
      <c r="M31" s="8">
        <f t="shared" si="33"/>
        <v>7.3648718829501608E-2</v>
      </c>
      <c r="N31" s="8">
        <f t="shared" si="34"/>
        <v>0.15038136441810171</v>
      </c>
      <c r="O31" s="8">
        <f t="shared" si="35"/>
        <v>0.1141357062090247</v>
      </c>
      <c r="P31" s="8">
        <f t="shared" si="36"/>
        <v>0.10121361067543062</v>
      </c>
      <c r="S31" s="8">
        <f t="shared" si="37"/>
        <v>8.7732885526845619E-2</v>
      </c>
      <c r="T31" s="8">
        <f t="shared" si="38"/>
        <v>8.4471519053457345E-2</v>
      </c>
      <c r="U31" s="8">
        <f t="shared" si="39"/>
        <v>8.0505715608836015E-2</v>
      </c>
      <c r="V31" s="8">
        <f t="shared" si="40"/>
        <v>0.16148049848063242</v>
      </c>
      <c r="W31" s="8">
        <f t="shared" si="41"/>
        <v>0.10450576024970026</v>
      </c>
      <c r="X31" s="8">
        <f t="shared" si="42"/>
        <v>0.10164934014940713</v>
      </c>
      <c r="AA31" s="8">
        <f t="shared" si="43"/>
        <v>8.4874854952138368E-2</v>
      </c>
      <c r="AB31" s="8">
        <f t="shared" si="44"/>
        <v>6.2668050649362136E-2</v>
      </c>
      <c r="AC31" s="8">
        <f t="shared" si="45"/>
        <v>7.4336857333952275E-2</v>
      </c>
      <c r="AD31" s="8">
        <f t="shared" si="46"/>
        <v>0.13635397263509655</v>
      </c>
      <c r="AE31" s="8">
        <f t="shared" si="47"/>
        <v>6.1881254241347168E-2</v>
      </c>
      <c r="AF31" s="8">
        <f t="shared" si="48"/>
        <v>8.1441262460535555E-2</v>
      </c>
    </row>
    <row r="32" spans="3:32" hidden="1" x14ac:dyDescent="0.2"/>
    <row r="33" spans="3:31" hidden="1" x14ac:dyDescent="0.2"/>
    <row r="34" spans="3:31" hidden="1" x14ac:dyDescent="0.2">
      <c r="C34" s="8">
        <f>SUM(C26:H26)</f>
        <v>1.2078222120578808</v>
      </c>
      <c r="E34" s="8">
        <f>G19</f>
        <v>0.18245707995525764</v>
      </c>
      <c r="G34" s="8">
        <f>C34/E34</f>
        <v>6.6197607259420375</v>
      </c>
      <c r="K34" s="8">
        <f>SUM(K26:P26)</f>
        <v>2.3811420865059909</v>
      </c>
      <c r="M34" s="8">
        <f>O19</f>
        <v>0.3843807961460674</v>
      </c>
      <c r="O34" s="8">
        <f>K34/M34</f>
        <v>6.1947477875589296</v>
      </c>
      <c r="S34" s="8">
        <f>SUM(S26:X26)</f>
        <v>2.1706062770466144</v>
      </c>
      <c r="U34" s="8">
        <f>W19</f>
        <v>0.35093154210738248</v>
      </c>
      <c r="W34" s="8">
        <f>S34/U34</f>
        <v>6.1852698221763855</v>
      </c>
      <c r="AA34" s="8">
        <f>SUM(AA26:AF26)</f>
        <v>1.894315311557017</v>
      </c>
      <c r="AC34" s="8">
        <f>AE19</f>
        <v>0.30845569349434304</v>
      </c>
      <c r="AE34" s="8">
        <f>AA34/AC34</f>
        <v>6.1412882028444651</v>
      </c>
    </row>
    <row r="35" spans="3:31" hidden="1" x14ac:dyDescent="0.2">
      <c r="C35" s="8">
        <f t="shared" ref="C35:C39" si="49">SUM(C27:H27)</f>
        <v>1.3847309420642429</v>
      </c>
      <c r="E35" s="8">
        <f t="shared" ref="E35:E39" si="50">G20</f>
        <v>0.20662214907038226</v>
      </c>
      <c r="G35" s="8">
        <f t="shared" ref="G35:G39" si="51">C35/E35</f>
        <v>6.701754619697418</v>
      </c>
      <c r="K35" s="8">
        <f t="shared" ref="K35:K39" si="52">SUM(K27:P27)</f>
        <v>1.5733324845790246</v>
      </c>
      <c r="M35" s="8">
        <f t="shared" ref="M35:M39" si="53">O20</f>
        <v>0.25387223790743968</v>
      </c>
      <c r="O35" s="8">
        <f t="shared" ref="O35:O39" si="54">K35/M35</f>
        <v>6.1973396443318567</v>
      </c>
      <c r="S35" s="8">
        <f t="shared" ref="S35:S39" si="55">SUM(S27:X27)</f>
        <v>1.559336359442828</v>
      </c>
      <c r="U35" s="8">
        <f t="shared" ref="U35:U39" si="56">W20</f>
        <v>0.25341455716037203</v>
      </c>
      <c r="W35" s="8">
        <f t="shared" ref="W35:W39" si="57">S35/U35</f>
        <v>6.1533022290270818</v>
      </c>
      <c r="AA35" s="8">
        <f t="shared" ref="AA35:AA39" si="58">SUM(AA27:AF27)</f>
        <v>1.5380556415079318</v>
      </c>
      <c r="AC35" s="8">
        <f t="shared" ref="AC35:AC39" si="59">AE20</f>
        <v>0.24935975864116053</v>
      </c>
      <c r="AE35" s="8">
        <f t="shared" ref="AE35:AE39" si="60">AA35/AC35</f>
        <v>6.1680186485954227</v>
      </c>
    </row>
    <row r="36" spans="3:31" hidden="1" x14ac:dyDescent="0.2">
      <c r="C36" s="8">
        <f t="shared" si="49"/>
        <v>2.8233558536287768</v>
      </c>
      <c r="E36" s="8">
        <f t="shared" si="50"/>
        <v>0.41632582351449848</v>
      </c>
      <c r="G36" s="8">
        <f t="shared" si="51"/>
        <v>6.7816015585938159</v>
      </c>
      <c r="K36" s="8">
        <f t="shared" si="52"/>
        <v>0.90735001604240806</v>
      </c>
      <c r="M36" s="8">
        <f t="shared" si="53"/>
        <v>0.14729743765900322</v>
      </c>
      <c r="O36" s="8">
        <f t="shared" si="54"/>
        <v>6.1599850646617709</v>
      </c>
      <c r="S36" s="8">
        <f t="shared" si="55"/>
        <v>0.98472230000554639</v>
      </c>
      <c r="U36" s="8">
        <f t="shared" si="56"/>
        <v>0.16101143121767203</v>
      </c>
      <c r="W36" s="8">
        <f t="shared" si="57"/>
        <v>6.1158533438181548</v>
      </c>
      <c r="AA36" s="8">
        <f t="shared" si="58"/>
        <v>1.388364123155559</v>
      </c>
      <c r="AC36" s="8">
        <f t="shared" si="59"/>
        <v>0.22573048118417396</v>
      </c>
      <c r="AE36" s="8">
        <f t="shared" si="60"/>
        <v>6.1505389784855415</v>
      </c>
    </row>
    <row r="37" spans="3:31" hidden="1" x14ac:dyDescent="0.2">
      <c r="C37" s="8">
        <f t="shared" si="49"/>
        <v>0.59741776157223836</v>
      </c>
      <c r="E37" s="8">
        <f t="shared" si="50"/>
        <v>8.8759829232729126E-2</v>
      </c>
      <c r="G37" s="8">
        <f t="shared" si="51"/>
        <v>6.7307222956209527</v>
      </c>
      <c r="K37" s="8">
        <f t="shared" si="52"/>
        <v>0.45392613129136589</v>
      </c>
      <c r="M37" s="8">
        <f t="shared" si="53"/>
        <v>7.5190682209050855E-2</v>
      </c>
      <c r="O37" s="8">
        <f t="shared" si="54"/>
        <v>6.0369997711860881</v>
      </c>
      <c r="S37" s="8">
        <f t="shared" si="55"/>
        <v>0.48878079975385902</v>
      </c>
      <c r="U37" s="8">
        <f t="shared" si="56"/>
        <v>8.0740249240316211E-2</v>
      </c>
      <c r="W37" s="8">
        <f t="shared" si="57"/>
        <v>6.0537440044189879</v>
      </c>
      <c r="AA37" s="8">
        <f t="shared" si="58"/>
        <v>0.52284394449775473</v>
      </c>
      <c r="AC37" s="8">
        <f t="shared" si="59"/>
        <v>8.5897620179873832E-2</v>
      </c>
      <c r="AE37" s="8">
        <f t="shared" si="60"/>
        <v>6.0868268923270969</v>
      </c>
    </row>
    <row r="38" spans="3:31" hidden="1" x14ac:dyDescent="0.2">
      <c r="C38" s="8">
        <f t="shared" si="49"/>
        <v>0.37134373691898792</v>
      </c>
      <c r="E38" s="8">
        <f t="shared" si="50"/>
        <v>5.7777529064068044E-2</v>
      </c>
      <c r="G38" s="8">
        <f t="shared" si="51"/>
        <v>6.4271308055976961</v>
      </c>
      <c r="K38" s="8">
        <f t="shared" si="52"/>
        <v>0.2308946077370739</v>
      </c>
      <c r="M38" s="8">
        <f t="shared" si="53"/>
        <v>3.8045235403008235E-2</v>
      </c>
      <c r="O38" s="8">
        <f t="shared" si="54"/>
        <v>6.068949378055815</v>
      </c>
      <c r="S38" s="8">
        <f t="shared" si="55"/>
        <v>0.31798737174582004</v>
      </c>
      <c r="U38" s="8">
        <f t="shared" si="56"/>
        <v>5.2252880124850132E-2</v>
      </c>
      <c r="W38" s="8">
        <f t="shared" si="57"/>
        <v>6.0855472652615257</v>
      </c>
      <c r="AA38" s="8">
        <f t="shared" si="58"/>
        <v>0.29987137721024443</v>
      </c>
      <c r="AC38" s="8">
        <f t="shared" si="59"/>
        <v>4.9115184039913051E-2</v>
      </c>
      <c r="AE38" s="8">
        <f t="shared" si="60"/>
        <v>6.1054719242537381</v>
      </c>
    </row>
    <row r="39" spans="3:31" hidden="1" x14ac:dyDescent="0.2">
      <c r="C39" s="8">
        <f t="shared" si="49"/>
        <v>0.3058881889143612</v>
      </c>
      <c r="E39" s="8">
        <f t="shared" si="50"/>
        <v>4.8057589163064386E-2</v>
      </c>
      <c r="G39" s="8">
        <f t="shared" si="51"/>
        <v>6.3650339986146793</v>
      </c>
      <c r="K39" s="8">
        <f t="shared" si="52"/>
        <v>0.62009867847105538</v>
      </c>
      <c r="M39" s="8">
        <f t="shared" si="53"/>
        <v>0.10121361067543062</v>
      </c>
      <c r="O39" s="8">
        <f t="shared" si="54"/>
        <v>6.1266333088301028</v>
      </c>
      <c r="S39" s="8">
        <f t="shared" si="55"/>
        <v>0.62034571906887881</v>
      </c>
      <c r="U39" s="8">
        <f t="shared" si="56"/>
        <v>0.10164934014940713</v>
      </c>
      <c r="W39" s="8">
        <f t="shared" si="57"/>
        <v>6.1028012396054594</v>
      </c>
      <c r="AA39" s="8">
        <f t="shared" si="58"/>
        <v>0.50155625227243206</v>
      </c>
      <c r="AC39" s="8">
        <f t="shared" si="59"/>
        <v>8.1441262460535555E-2</v>
      </c>
      <c r="AE39" s="8">
        <f t="shared" si="60"/>
        <v>6.1585029150975403</v>
      </c>
    </row>
    <row r="40" spans="3:31" hidden="1" x14ac:dyDescent="0.2">
      <c r="F40" s="8"/>
      <c r="G40" s="8"/>
      <c r="N40" s="8"/>
      <c r="O40" s="8"/>
      <c r="V40" s="8"/>
      <c r="W40" s="8"/>
      <c r="AD40" s="8"/>
      <c r="AE40" s="8"/>
    </row>
    <row r="41" spans="3:31" x14ac:dyDescent="0.2">
      <c r="F41" s="8" t="s">
        <v>20</v>
      </c>
      <c r="G41" s="8">
        <f>AVERAGE(G34:G39)</f>
        <v>6.6043340006777669</v>
      </c>
      <c r="N41" s="8" t="s">
        <v>20</v>
      </c>
      <c r="O41" s="8">
        <f>AVERAGE(O34:O39)</f>
        <v>6.130775825770761</v>
      </c>
      <c r="V41" s="8" t="s">
        <v>20</v>
      </c>
      <c r="W41" s="8">
        <f>AVERAGE(W34:W39)</f>
        <v>6.1160863173845996</v>
      </c>
      <c r="AD41" s="8" t="s">
        <v>20</v>
      </c>
      <c r="AE41" s="8">
        <f>AVERAGE(AE34:AE39)</f>
        <v>6.1351079269339683</v>
      </c>
    </row>
    <row r="42" spans="3:31" x14ac:dyDescent="0.2">
      <c r="F42" s="8" t="s">
        <v>21</v>
      </c>
      <c r="G42" s="8">
        <f>(G41-6)/5</f>
        <v>0.12086680013555337</v>
      </c>
      <c r="N42" s="8" t="s">
        <v>21</v>
      </c>
      <c r="O42" s="8">
        <f>(O41-6)/5</f>
        <v>2.6155165154152192E-2</v>
      </c>
      <c r="V42" s="8" t="s">
        <v>21</v>
      </c>
      <c r="W42" s="8">
        <f>(W41-6)/5</f>
        <v>2.3217263476919926E-2</v>
      </c>
      <c r="AD42" s="8" t="s">
        <v>21</v>
      </c>
      <c r="AE42" s="8">
        <f>(AE41-6)/5</f>
        <v>2.7021585386793667E-2</v>
      </c>
    </row>
    <row r="43" spans="3:31" s="117" customFormat="1" x14ac:dyDescent="0.2">
      <c r="F43" s="47" t="s">
        <v>22</v>
      </c>
      <c r="G43" s="47">
        <f>G42/1.24</f>
        <v>9.7473225915768846E-2</v>
      </c>
      <c r="N43" s="47" t="s">
        <v>22</v>
      </c>
      <c r="O43" s="47">
        <f>O42/1.24</f>
        <v>2.1092875124316283E-2</v>
      </c>
      <c r="V43" s="47" t="s">
        <v>22</v>
      </c>
      <c r="W43" s="47">
        <f>W42/1.24</f>
        <v>1.8723599578161231E-2</v>
      </c>
      <c r="AD43" s="47" t="s">
        <v>22</v>
      </c>
      <c r="AE43" s="47">
        <f>AE42/1.24</f>
        <v>2.1791601118381989E-2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EA76-C5BA-2542-869D-BFA07CA56494}">
  <dimension ref="B2:T33"/>
  <sheetViews>
    <sheetView topLeftCell="C5" zoomScale="107" zoomScaleNormal="165" workbookViewId="0">
      <selection activeCell="O33" sqref="O33"/>
    </sheetView>
  </sheetViews>
  <sheetFormatPr baseColWidth="10" defaultColWidth="8.83203125" defaultRowHeight="15" x14ac:dyDescent="0.2"/>
  <cols>
    <col min="2" max="2" width="18.1640625" customWidth="1"/>
    <col min="3" max="3" width="14.33203125" customWidth="1"/>
    <col min="4" max="4" width="16.6640625" customWidth="1"/>
    <col min="5" max="5" width="15.6640625" customWidth="1"/>
    <col min="7" max="7" width="17.5" customWidth="1"/>
    <col min="8" max="8" width="14.5" customWidth="1"/>
    <col min="9" max="9" width="16.6640625" customWidth="1"/>
    <col min="10" max="10" width="15.83203125" customWidth="1"/>
    <col min="12" max="12" width="16" customWidth="1"/>
    <col min="13" max="13" width="13.83203125" customWidth="1"/>
    <col min="14" max="14" width="15.33203125" customWidth="1"/>
    <col min="15" max="15" width="14.83203125" customWidth="1"/>
    <col min="17" max="17" width="17.33203125" customWidth="1"/>
    <col min="18" max="18" width="15.1640625" customWidth="1"/>
    <col min="19" max="19" width="19.1640625" customWidth="1"/>
    <col min="20" max="20" width="17.5" customWidth="1"/>
  </cols>
  <sheetData>
    <row r="2" spans="2:20" ht="18" customHeight="1" x14ac:dyDescent="0.2"/>
    <row r="3" spans="2:20" ht="127" customHeight="1" x14ac:dyDescent="0.2">
      <c r="B3" s="8"/>
      <c r="C3" s="13" t="str">
        <f>B4</f>
        <v>Dostupan 24/7 i omogućava trenutačne odgovore na pitanja korisnika. Eliminira čekanje na ljudskog stručnjaka.</v>
      </c>
      <c r="D3" s="13" t="str">
        <f>B5</f>
        <v>Omogućuje klijentima pristup dokumentaciji, praćenju statusa i preuzimanju certifikata bilo kada i s bilo kojeg uređaja.</v>
      </c>
      <c r="E3" s="13" t="str">
        <f>B6</f>
        <v>Omogućuju sudjelovanje neovisno o lokaciji i vremenu, što značajno proširuje dostupnost tradicionalnih radionica.</v>
      </c>
      <c r="G3" s="8"/>
      <c r="H3" s="13" t="str">
        <f>G4</f>
        <v>Dostupan 24/7 i omogućava trenutačne odgovore na pitanja korisnika. Eliminira čekanje na ljudskog stručnjaka.</v>
      </c>
      <c r="I3" s="13" t="str">
        <f>G5</f>
        <v>Omogućuje klijentima pristup dokumentaciji, praćenju statusa i preuzimanju certifikata bilo kada i s bilo kojeg uređaja.</v>
      </c>
      <c r="J3" s="13" t="str">
        <f>G6</f>
        <v>Omogućuju sudjelovanje neovisno o lokaciji i vremenu, što značajno proširuje dostupnost tradicionalnih radionica.</v>
      </c>
      <c r="L3" s="8"/>
      <c r="M3" s="13" t="str">
        <f>L4</f>
        <v>Dostupan 24/7 i omogućava trenutačne odgovore na pitanja korisnika. Eliminira čekanje na ljudskog stručnjaka.</v>
      </c>
      <c r="N3" s="13" t="str">
        <f>L5</f>
        <v>Omogućuje klijentima pristup dokumentaciji, praćenju statusa i preuzimanju certifikata bilo kada i s bilo kojeg uređaja.</v>
      </c>
      <c r="O3" s="13" t="str">
        <f>L6</f>
        <v>Omogućuju sudjelovanje neovisno o lokaciji i vremenu, što značajno proširuje dostupnost tradicionalnih radionica.</v>
      </c>
      <c r="Q3" s="8"/>
      <c r="R3" s="13" t="str">
        <f>Q4</f>
        <v>Dostupan 24/7 i omogućava trenutačne odgovore na pitanja korisnika. Eliminira čekanje na ljudskog stručnjaka.</v>
      </c>
      <c r="S3" s="13" t="str">
        <f>Q5</f>
        <v>Omogućuje klijentima pristup dokumentaciji, praćenju statusa i preuzimanju certifikata bilo kada i s bilo kojeg uređaja.</v>
      </c>
      <c r="T3" s="13" t="str">
        <f>Q6</f>
        <v>Omogućuju sudjelovanje neovisno o lokaciji i vremenu, što značajno proširuje dostupnost tradicionalnih radionica.</v>
      </c>
    </row>
    <row r="4" spans="2:20" ht="113" customHeight="1" x14ac:dyDescent="0.2">
      <c r="B4" s="12" t="s">
        <v>27</v>
      </c>
      <c r="C4" s="8">
        <v>1</v>
      </c>
      <c r="D4" s="20">
        <v>0.33333333333333331</v>
      </c>
      <c r="E4" s="20">
        <v>0.16666666666666666</v>
      </c>
      <c r="G4" s="13" t="str">
        <f>B4</f>
        <v>Dostupan 24/7 i omogućava trenutačne odgovore na pitanja korisnika. Eliminira čekanje na ljudskog stručnjaka.</v>
      </c>
      <c r="H4" s="8">
        <v>1</v>
      </c>
      <c r="I4" s="20">
        <v>0.33333333333333331</v>
      </c>
      <c r="J4" s="20">
        <v>0.1111111111111111</v>
      </c>
      <c r="L4" s="13" t="str">
        <f>G4</f>
        <v>Dostupan 24/7 i omogućava trenutačne odgovore na pitanja korisnika. Eliminira čekanje na ljudskog stručnjaka.</v>
      </c>
      <c r="M4" s="8">
        <v>1</v>
      </c>
      <c r="N4" s="20">
        <v>0.33333333333333331</v>
      </c>
      <c r="O4" s="20">
        <v>0.125</v>
      </c>
      <c r="Q4" s="13" t="str">
        <f>L4</f>
        <v>Dostupan 24/7 i omogućava trenutačne odgovore na pitanja korisnika. Eliminira čekanje na ljudskog stručnjaka.</v>
      </c>
      <c r="R4" s="8">
        <f>GEOMEAN(C4,H4,M4)</f>
        <v>1</v>
      </c>
      <c r="S4" s="8">
        <f t="shared" ref="S4:T6" si="0">GEOMEAN(D4,I4,N4)</f>
        <v>0.33333333333333331</v>
      </c>
      <c r="T4" s="8">
        <f t="shared" si="0"/>
        <v>0.13228342099734997</v>
      </c>
    </row>
    <row r="5" spans="2:20" ht="99" customHeight="1" x14ac:dyDescent="0.2">
      <c r="B5" s="12" t="s">
        <v>36</v>
      </c>
      <c r="C5" s="8">
        <v>3</v>
      </c>
      <c r="D5" s="8">
        <v>1</v>
      </c>
      <c r="E5" s="20">
        <v>0.5</v>
      </c>
      <c r="G5" s="13" t="str">
        <f t="shared" ref="G5:G6" si="1">B5</f>
        <v>Omogućuje klijentima pristup dokumentaciji, praćenju statusa i preuzimanju certifikata bilo kada i s bilo kojeg uređaja.</v>
      </c>
      <c r="H5" s="8">
        <v>3</v>
      </c>
      <c r="I5" s="8">
        <v>1</v>
      </c>
      <c r="J5" s="20">
        <v>0.33333333333333331</v>
      </c>
      <c r="L5" s="13" t="str">
        <f t="shared" ref="L5:L6" si="2">G5</f>
        <v>Omogućuje klijentima pristup dokumentaciji, praćenju statusa i preuzimanju certifikata bilo kada i s bilo kojeg uređaja.</v>
      </c>
      <c r="M5" s="8">
        <v>3</v>
      </c>
      <c r="N5" s="8">
        <v>1</v>
      </c>
      <c r="O5" s="20">
        <v>0.5</v>
      </c>
      <c r="Q5" s="13" t="str">
        <f t="shared" ref="Q5:Q6" si="3">L5</f>
        <v>Omogućuje klijentima pristup dokumentaciji, praćenju statusa i preuzimanju certifikata bilo kada i s bilo kojeg uređaja.</v>
      </c>
      <c r="R5" s="8">
        <f t="shared" ref="R5:R6" si="4">GEOMEAN(C5,H5,M5)</f>
        <v>3</v>
      </c>
      <c r="S5" s="8">
        <f t="shared" si="0"/>
        <v>1</v>
      </c>
      <c r="T5" s="8">
        <f t="shared" si="0"/>
        <v>0.43679023236814946</v>
      </c>
    </row>
    <row r="6" spans="2:20" ht="104" customHeight="1" x14ac:dyDescent="0.2">
      <c r="B6" s="12" t="s">
        <v>45</v>
      </c>
      <c r="C6" s="8">
        <v>6</v>
      </c>
      <c r="D6" s="8">
        <v>2</v>
      </c>
      <c r="E6" s="8">
        <v>1</v>
      </c>
      <c r="G6" s="13" t="str">
        <f t="shared" si="1"/>
        <v>Omogućuju sudjelovanje neovisno o lokaciji i vremenu, što značajno proširuje dostupnost tradicionalnih radionica.</v>
      </c>
      <c r="H6" s="8">
        <v>9</v>
      </c>
      <c r="I6" s="8">
        <v>3</v>
      </c>
      <c r="J6" s="8">
        <v>1</v>
      </c>
      <c r="L6" s="13" t="str">
        <f t="shared" si="2"/>
        <v>Omogućuju sudjelovanje neovisno o lokaciji i vremenu, što značajno proširuje dostupnost tradicionalnih radionica.</v>
      </c>
      <c r="M6" s="8">
        <v>8</v>
      </c>
      <c r="N6" s="8">
        <v>2</v>
      </c>
      <c r="O6" s="8">
        <v>1</v>
      </c>
      <c r="Q6" s="13" t="str">
        <f t="shared" si="3"/>
        <v>Omogućuju sudjelovanje neovisno o lokaciji i vremenu, što značajno proširuje dostupnost tradicionalnih radionica.</v>
      </c>
      <c r="R6" s="8">
        <f t="shared" si="4"/>
        <v>7.5595262993692387</v>
      </c>
      <c r="S6" s="8">
        <f t="shared" si="0"/>
        <v>2.2894284851066637</v>
      </c>
      <c r="T6" s="8">
        <f t="shared" si="0"/>
        <v>1</v>
      </c>
    </row>
    <row r="8" spans="2:20" hidden="1" x14ac:dyDescent="0.2">
      <c r="C8" s="8">
        <f>SUM(C4:C6)</f>
        <v>10</v>
      </c>
      <c r="D8" s="8">
        <f t="shared" ref="D8:E8" si="5">SUM(D4:D6)</f>
        <v>3.333333333333333</v>
      </c>
      <c r="E8" s="8">
        <f t="shared" si="5"/>
        <v>1.6666666666666665</v>
      </c>
      <c r="H8" s="8">
        <f>SUM(H4:H6)</f>
        <v>13</v>
      </c>
      <c r="I8" s="8">
        <f t="shared" ref="I8:J8" si="6">SUM(I4:I6)</f>
        <v>4.333333333333333</v>
      </c>
      <c r="J8" s="8">
        <f t="shared" si="6"/>
        <v>1.4444444444444444</v>
      </c>
      <c r="M8" s="8">
        <f>SUM(M4:M6)</f>
        <v>12</v>
      </c>
      <c r="N8" s="8">
        <f t="shared" ref="N8:O8" si="7">SUM(N4:N6)</f>
        <v>3.333333333333333</v>
      </c>
      <c r="O8" s="8">
        <f t="shared" si="7"/>
        <v>1.625</v>
      </c>
      <c r="R8" s="8">
        <f>SUM(R4:R6)</f>
        <v>11.559526299369239</v>
      </c>
      <c r="S8" s="8">
        <f t="shared" ref="S8:T8" si="8">SUM(S4:S6)</f>
        <v>3.6227618184399972</v>
      </c>
      <c r="T8" s="8">
        <f t="shared" si="8"/>
        <v>1.5690736533654994</v>
      </c>
    </row>
    <row r="9" spans="2:20" hidden="1" x14ac:dyDescent="0.2"/>
    <row r="10" spans="2:20" hidden="1" x14ac:dyDescent="0.2"/>
    <row r="11" spans="2:20" hidden="1" x14ac:dyDescent="0.2">
      <c r="C11" s="8">
        <f>C4/C$8</f>
        <v>0.1</v>
      </c>
      <c r="D11" s="8">
        <f>D4/D$8</f>
        <v>0.1</v>
      </c>
      <c r="E11" s="8">
        <f>E4/E$8</f>
        <v>0.1</v>
      </c>
      <c r="H11" s="8">
        <f>H4/H$8</f>
        <v>7.6923076923076927E-2</v>
      </c>
      <c r="I11" s="8">
        <f>I4/I$8</f>
        <v>7.6923076923076927E-2</v>
      </c>
      <c r="J11" s="8">
        <f>J4/J$8</f>
        <v>7.6923076923076913E-2</v>
      </c>
      <c r="M11" s="8">
        <f>M4/M$8</f>
        <v>8.3333333333333329E-2</v>
      </c>
      <c r="N11" s="8">
        <f>N4/N$8</f>
        <v>0.1</v>
      </c>
      <c r="O11" s="8">
        <f>O4/O$8</f>
        <v>7.6923076923076927E-2</v>
      </c>
      <c r="R11" s="8">
        <f>R4/R$8</f>
        <v>8.650873522858514E-2</v>
      </c>
      <c r="S11" s="8">
        <f>S4/S$8</f>
        <v>9.2010833181649918E-2</v>
      </c>
      <c r="T11" s="8">
        <f>T4/T$8</f>
        <v>8.4306699506180485E-2</v>
      </c>
    </row>
    <row r="12" spans="2:20" hidden="1" x14ac:dyDescent="0.2">
      <c r="C12" s="8">
        <f t="shared" ref="C12:E13" si="9">C5/C$8</f>
        <v>0.3</v>
      </c>
      <c r="D12" s="8">
        <f t="shared" si="9"/>
        <v>0.30000000000000004</v>
      </c>
      <c r="E12" s="8">
        <f t="shared" si="9"/>
        <v>0.30000000000000004</v>
      </c>
      <c r="H12" s="8">
        <f t="shared" ref="H12:J13" si="10">H5/H$8</f>
        <v>0.23076923076923078</v>
      </c>
      <c r="I12" s="8">
        <f t="shared" si="10"/>
        <v>0.23076923076923078</v>
      </c>
      <c r="J12" s="8">
        <f t="shared" si="10"/>
        <v>0.23076923076923075</v>
      </c>
      <c r="M12" s="8">
        <f t="shared" ref="M12:O13" si="11">M5/M$8</f>
        <v>0.25</v>
      </c>
      <c r="N12" s="8">
        <f t="shared" si="11"/>
        <v>0.30000000000000004</v>
      </c>
      <c r="O12" s="8">
        <f t="shared" si="11"/>
        <v>0.30769230769230771</v>
      </c>
      <c r="R12" s="8">
        <f t="shared" ref="R12:T13" si="12">R5/R$8</f>
        <v>0.25952620568575541</v>
      </c>
      <c r="S12" s="8">
        <f t="shared" si="12"/>
        <v>0.27603249954494979</v>
      </c>
      <c r="T12" s="8">
        <f t="shared" si="12"/>
        <v>0.2783745883638285</v>
      </c>
    </row>
    <row r="13" spans="2:20" hidden="1" x14ac:dyDescent="0.2">
      <c r="C13" s="8">
        <f t="shared" si="9"/>
        <v>0.6</v>
      </c>
      <c r="D13" s="8">
        <f t="shared" si="9"/>
        <v>0.60000000000000009</v>
      </c>
      <c r="E13" s="8">
        <f t="shared" si="9"/>
        <v>0.60000000000000009</v>
      </c>
      <c r="H13" s="8">
        <f t="shared" si="10"/>
        <v>0.69230769230769229</v>
      </c>
      <c r="I13" s="8">
        <f t="shared" si="10"/>
        <v>0.6923076923076924</v>
      </c>
      <c r="J13" s="8">
        <f t="shared" si="10"/>
        <v>0.69230769230769229</v>
      </c>
      <c r="M13" s="8">
        <f t="shared" si="11"/>
        <v>0.66666666666666663</v>
      </c>
      <c r="N13" s="8">
        <f t="shared" si="11"/>
        <v>0.60000000000000009</v>
      </c>
      <c r="O13" s="8">
        <f t="shared" si="11"/>
        <v>0.61538461538461542</v>
      </c>
      <c r="R13" s="8">
        <f t="shared" si="12"/>
        <v>0.65396505908565949</v>
      </c>
      <c r="S13" s="8">
        <f t="shared" si="12"/>
        <v>0.63195666727340027</v>
      </c>
      <c r="T13" s="8">
        <f t="shared" si="12"/>
        <v>0.63731871212999103</v>
      </c>
    </row>
    <row r="14" spans="2:20" hidden="1" x14ac:dyDescent="0.2"/>
    <row r="15" spans="2:20" x14ac:dyDescent="0.2">
      <c r="D15" s="8" t="str">
        <f>B4</f>
        <v>Dostupan 24/7 i omogućava trenutačne odgovore na pitanja korisnika. Eliminira čekanje na ljudskog stručnjaka.</v>
      </c>
      <c r="E15" s="8">
        <f>AVERAGE(C11:E11)</f>
        <v>0.10000000000000002</v>
      </c>
      <c r="I15" s="8" t="str">
        <f>G4</f>
        <v>Dostupan 24/7 i omogućava trenutačne odgovore na pitanja korisnika. Eliminira čekanje na ljudskog stručnjaka.</v>
      </c>
      <c r="J15" s="8">
        <f>AVERAGE(H11:J11)</f>
        <v>7.6923076923076927E-2</v>
      </c>
      <c r="N15" s="8" t="str">
        <f>L4</f>
        <v>Dostupan 24/7 i omogućava trenutačne odgovore na pitanja korisnika. Eliminira čekanje na ljudskog stručnjaka.</v>
      </c>
      <c r="O15" s="8">
        <f>AVERAGE(M11:O11)</f>
        <v>8.6752136752136763E-2</v>
      </c>
      <c r="S15" s="8" t="str">
        <f>Q4</f>
        <v>Dostupan 24/7 i omogućava trenutačne odgovore na pitanja korisnika. Eliminira čekanje na ljudskog stručnjaka.</v>
      </c>
      <c r="T15" s="11">
        <f>AVERAGE(R11:T11)</f>
        <v>8.7608755972138519E-2</v>
      </c>
    </row>
    <row r="16" spans="2:20" x14ac:dyDescent="0.2">
      <c r="D16" s="8" t="str">
        <f t="shared" ref="D16:D17" si="13">B5</f>
        <v>Omogućuje klijentima pristup dokumentaciji, praćenju statusa i preuzimanju certifikata bilo kada i s bilo kojeg uređaja.</v>
      </c>
      <c r="E16" s="8">
        <f t="shared" ref="E16:E17" si="14">AVERAGE(C12:E12)</f>
        <v>0.30000000000000004</v>
      </c>
      <c r="I16" s="8" t="str">
        <f t="shared" ref="I16:I17" si="15">G5</f>
        <v>Omogućuje klijentima pristup dokumentaciji, praćenju statusa i preuzimanju certifikata bilo kada i s bilo kojeg uređaja.</v>
      </c>
      <c r="J16" s="8">
        <f t="shared" ref="J16:J17" si="16">AVERAGE(H12:J12)</f>
        <v>0.23076923076923075</v>
      </c>
      <c r="N16" s="8" t="str">
        <f t="shared" ref="N16:N17" si="17">L5</f>
        <v>Omogućuje klijentima pristup dokumentaciji, praćenju statusa i preuzimanju certifikata bilo kada i s bilo kojeg uređaja.</v>
      </c>
      <c r="O16" s="8">
        <f t="shared" ref="O16:O17" si="18">AVERAGE(M12:O12)</f>
        <v>0.28589743589743594</v>
      </c>
      <c r="S16" s="8" t="str">
        <f t="shared" ref="S16:S17" si="19">Q5</f>
        <v>Omogućuje klijentima pristup dokumentaciji, praćenju statusa i preuzimanju certifikata bilo kada i s bilo kojeg uređaja.</v>
      </c>
      <c r="T16" s="11">
        <f t="shared" ref="T16:T17" si="20">AVERAGE(R12:T12)</f>
        <v>0.27131109786484453</v>
      </c>
    </row>
    <row r="17" spans="2:20" x14ac:dyDescent="0.2">
      <c r="D17" s="8" t="str">
        <f t="shared" si="13"/>
        <v>Omogućuju sudjelovanje neovisno o lokaciji i vremenu, što značajno proširuje dostupnost tradicionalnih radionica.</v>
      </c>
      <c r="E17" s="8">
        <f t="shared" si="14"/>
        <v>0.60000000000000009</v>
      </c>
      <c r="I17" s="8" t="str">
        <f t="shared" si="15"/>
        <v>Omogućuju sudjelovanje neovisno o lokaciji i vremenu, što značajno proširuje dostupnost tradicionalnih radionica.</v>
      </c>
      <c r="J17" s="8">
        <f t="shared" si="16"/>
        <v>0.69230769230769218</v>
      </c>
      <c r="N17" s="8" t="str">
        <f t="shared" si="17"/>
        <v>Omogućuju sudjelovanje neovisno o lokaciji i vremenu, što značajno proširuje dostupnost tradicionalnih radionica.</v>
      </c>
      <c r="O17" s="8">
        <f t="shared" si="18"/>
        <v>0.62735042735042734</v>
      </c>
      <c r="S17" s="8" t="str">
        <f t="shared" si="19"/>
        <v>Omogućuju sudjelovanje neovisno o lokaciji i vremenu, što značajno proširuje dostupnost tradicionalnih radionica.</v>
      </c>
      <c r="T17" s="11">
        <f t="shared" si="20"/>
        <v>0.6410801461630169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0.10000000000000002</v>
      </c>
      <c r="D21" s="8">
        <f>D4*E$16</f>
        <v>0.1</v>
      </c>
      <c r="E21" s="8">
        <f>E4*E$17</f>
        <v>0.1</v>
      </c>
      <c r="H21" s="8">
        <f>H4*J$15</f>
        <v>7.6923076923076927E-2</v>
      </c>
      <c r="I21" s="8">
        <f>I4*J$16</f>
        <v>7.6923076923076913E-2</v>
      </c>
      <c r="J21" s="8">
        <f>J4*J$17</f>
        <v>7.69230769230769E-2</v>
      </c>
      <c r="M21" s="8">
        <f>M4*O$15</f>
        <v>8.6752136752136763E-2</v>
      </c>
      <c r="N21" s="8">
        <f>N4*O$16</f>
        <v>9.5299145299145308E-2</v>
      </c>
      <c r="O21" s="8">
        <f>O4*O$17</f>
        <v>7.8418803418803418E-2</v>
      </c>
      <c r="R21" s="8">
        <f>R4*T$15</f>
        <v>8.7608755972138519E-2</v>
      </c>
      <c r="S21" s="8">
        <f>S4*T$16</f>
        <v>9.0437032621614843E-2</v>
      </c>
      <c r="T21" s="8">
        <f>T4*T$17</f>
        <v>8.4804274867925009E-2</v>
      </c>
    </row>
    <row r="22" spans="2:20" hidden="1" x14ac:dyDescent="0.2">
      <c r="C22" s="8">
        <f t="shared" ref="C22:C23" si="21">C5*E$15</f>
        <v>0.30000000000000004</v>
      </c>
      <c r="D22" s="8">
        <f t="shared" ref="D22:D23" si="22">D5*E$16</f>
        <v>0.30000000000000004</v>
      </c>
      <c r="E22" s="8">
        <f t="shared" ref="E22:E23" si="23">E5*E$17</f>
        <v>0.30000000000000004</v>
      </c>
      <c r="H22" s="8">
        <f t="shared" ref="H22:H23" si="24">H5*J$15</f>
        <v>0.23076923076923078</v>
      </c>
      <c r="I22" s="8">
        <f t="shared" ref="I22:I23" si="25">I5*J$16</f>
        <v>0.23076923076923075</v>
      </c>
      <c r="J22" s="8">
        <f t="shared" ref="J22:J23" si="26">J5*J$17</f>
        <v>0.23076923076923073</v>
      </c>
      <c r="M22" s="8">
        <f t="shared" ref="M22:M23" si="27">M5*O$15</f>
        <v>0.26025641025641028</v>
      </c>
      <c r="N22" s="8">
        <f t="shared" ref="N22:N23" si="28">N5*O$16</f>
        <v>0.28589743589743594</v>
      </c>
      <c r="O22" s="8">
        <f t="shared" ref="O22:O23" si="29">O5*O$17</f>
        <v>0.31367521367521367</v>
      </c>
      <c r="R22" s="8">
        <f t="shared" ref="R22:R23" si="30">R5*T$15</f>
        <v>0.26282626791641556</v>
      </c>
      <c r="S22" s="8">
        <f t="shared" ref="S22:S23" si="31">S5*T$16</f>
        <v>0.27131109786484453</v>
      </c>
      <c r="T22" s="8">
        <f t="shared" ref="T22:T23" si="32">T5*T$17</f>
        <v>0.28001754600915135</v>
      </c>
    </row>
    <row r="23" spans="2:20" hidden="1" x14ac:dyDescent="0.2">
      <c r="C23" s="8">
        <f t="shared" si="21"/>
        <v>0.60000000000000009</v>
      </c>
      <c r="D23" s="8">
        <f t="shared" si="22"/>
        <v>0.60000000000000009</v>
      </c>
      <c r="E23" s="8">
        <f t="shared" si="23"/>
        <v>0.60000000000000009</v>
      </c>
      <c r="H23" s="8">
        <f t="shared" si="24"/>
        <v>0.69230769230769229</v>
      </c>
      <c r="I23" s="8">
        <f t="shared" si="25"/>
        <v>0.69230769230769229</v>
      </c>
      <c r="J23" s="8">
        <f t="shared" si="26"/>
        <v>0.69230769230769218</v>
      </c>
      <c r="M23" s="8">
        <f t="shared" si="27"/>
        <v>0.6940170940170941</v>
      </c>
      <c r="N23" s="8">
        <f t="shared" si="28"/>
        <v>0.57179487179487187</v>
      </c>
      <c r="O23" s="8">
        <f t="shared" si="29"/>
        <v>0.62735042735042734</v>
      </c>
      <c r="R23" s="8">
        <f t="shared" si="30"/>
        <v>0.66228069482640295</v>
      </c>
      <c r="S23" s="8">
        <f t="shared" si="31"/>
        <v>0.62114735577733682</v>
      </c>
      <c r="T23" s="8">
        <f t="shared" si="32"/>
        <v>0.6410801461630169</v>
      </c>
    </row>
    <row r="24" spans="2:20" hidden="1" x14ac:dyDescent="0.2"/>
    <row r="25" spans="2:20" hidden="1" x14ac:dyDescent="0.2">
      <c r="C25" s="8">
        <f>SUM(C21:E21)</f>
        <v>0.30000000000000004</v>
      </c>
      <c r="D25" s="8">
        <f>SUM(C22:E22)</f>
        <v>0.90000000000000013</v>
      </c>
      <c r="E25" s="8">
        <f>SUM(C23:E23)</f>
        <v>1.8000000000000003</v>
      </c>
      <c r="H25" s="8">
        <f>SUM(H21:J21)</f>
        <v>0.23076923076923075</v>
      </c>
      <c r="I25" s="8">
        <f>SUM(H22:J22)</f>
        <v>0.69230769230769229</v>
      </c>
      <c r="J25" s="8">
        <f>SUM(H23:J23)</f>
        <v>2.0769230769230766</v>
      </c>
      <c r="M25" s="8">
        <f>SUM(M21:O21)</f>
        <v>0.26047008547008549</v>
      </c>
      <c r="N25" s="8">
        <f>SUM(M22:O22)</f>
        <v>0.85982905982905988</v>
      </c>
      <c r="O25" s="8">
        <f>SUM(M23:O23)</f>
        <v>1.8931623931623933</v>
      </c>
      <c r="R25" s="8">
        <f>SUM(R21:T21)</f>
        <v>0.26285006346167838</v>
      </c>
      <c r="S25" s="8">
        <f>SUM(R22:T22)</f>
        <v>0.81415491179041144</v>
      </c>
      <c r="T25" s="8">
        <f>SUM(R23:T23)</f>
        <v>1.9245081967667566</v>
      </c>
    </row>
    <row r="26" spans="2:20" hidden="1" x14ac:dyDescent="0.2"/>
    <row r="27" spans="2:20" hidden="1" x14ac:dyDescent="0.2">
      <c r="C27" s="8">
        <f>E15</f>
        <v>0.10000000000000002</v>
      </c>
      <c r="D27" s="8">
        <f>E16</f>
        <v>0.30000000000000004</v>
      </c>
      <c r="E27" s="8">
        <f>E17</f>
        <v>0.60000000000000009</v>
      </c>
      <c r="H27" s="8">
        <f>J15</f>
        <v>7.6923076923076927E-2</v>
      </c>
      <c r="I27" s="8">
        <f>J16</f>
        <v>0.23076923076923075</v>
      </c>
      <c r="J27" s="8">
        <f>J17</f>
        <v>0.69230769230769218</v>
      </c>
      <c r="M27" s="8">
        <f>O15</f>
        <v>8.6752136752136763E-2</v>
      </c>
      <c r="N27" s="8">
        <f>O16</f>
        <v>0.28589743589743594</v>
      </c>
      <c r="O27" s="8">
        <f>O17</f>
        <v>0.62735042735042734</v>
      </c>
      <c r="R27" s="8">
        <f>T15</f>
        <v>8.7608755972138519E-2</v>
      </c>
      <c r="S27" s="8">
        <f>T16</f>
        <v>0.27131109786484453</v>
      </c>
      <c r="T27" s="8">
        <f>T17</f>
        <v>0.6410801461630169</v>
      </c>
    </row>
    <row r="28" spans="2:20" hidden="1" x14ac:dyDescent="0.2"/>
    <row r="29" spans="2:20" hidden="1" x14ac:dyDescent="0.2">
      <c r="C29" s="8">
        <f>C25/C27</f>
        <v>3</v>
      </c>
      <c r="D29" s="8">
        <f t="shared" ref="D29:E29" si="33">D25/D27</f>
        <v>3</v>
      </c>
      <c r="E29" s="8">
        <f t="shared" si="33"/>
        <v>3</v>
      </c>
      <c r="H29" s="8">
        <f>H25/H27</f>
        <v>2.9999999999999996</v>
      </c>
      <c r="I29" s="8">
        <f t="shared" ref="I29:J29" si="34">I25/I27</f>
        <v>3</v>
      </c>
      <c r="J29" s="8">
        <f t="shared" si="34"/>
        <v>3</v>
      </c>
      <c r="M29" s="8">
        <f>M25/M27</f>
        <v>3.0024630541871922</v>
      </c>
      <c r="N29" s="8">
        <f t="shared" ref="N29:O29" si="35">N25/N27</f>
        <v>3.007473841554559</v>
      </c>
      <c r="O29" s="8">
        <f t="shared" si="35"/>
        <v>3.0177111716621257</v>
      </c>
      <c r="R29" s="8">
        <f>R25/R27</f>
        <v>3.0002716114958918</v>
      </c>
      <c r="S29" s="8">
        <f t="shared" ref="S29:T29" si="36">S25/S27</f>
        <v>3.0008168416169552</v>
      </c>
      <c r="T29" s="8">
        <f t="shared" si="36"/>
        <v>3.0019775347673665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</v>
      </c>
      <c r="I31" s="8" t="s">
        <v>20</v>
      </c>
      <c r="J31" s="8">
        <f>AVERAGE(H29:J29)</f>
        <v>3</v>
      </c>
      <c r="N31" s="8" t="s">
        <v>20</v>
      </c>
      <c r="O31" s="8">
        <f>AVERAGE(M29:O29)</f>
        <v>3.0092160224679589</v>
      </c>
      <c r="S31" s="8" t="s">
        <v>20</v>
      </c>
      <c r="T31" s="8">
        <f>AVERAGE(R29:T29)</f>
        <v>3.001021995960071</v>
      </c>
    </row>
    <row r="32" spans="2:20" hidden="1" x14ac:dyDescent="0.2">
      <c r="D32" s="8" t="s">
        <v>21</v>
      </c>
      <c r="E32" s="8">
        <f>(E31-3)/2</f>
        <v>0</v>
      </c>
      <c r="I32" s="8" t="s">
        <v>21</v>
      </c>
      <c r="J32" s="8">
        <f>(J31-3)/2</f>
        <v>0</v>
      </c>
      <c r="N32" s="8" t="s">
        <v>21</v>
      </c>
      <c r="O32" s="8">
        <f>(O31-3)/2</f>
        <v>4.6080112339794699E-3</v>
      </c>
      <c r="S32" s="8" t="s">
        <v>21</v>
      </c>
      <c r="T32" s="8">
        <f>(T31-3)/2</f>
        <v>5.1099798003551022E-4</v>
      </c>
    </row>
    <row r="33" spans="4:20" s="117" customFormat="1" x14ac:dyDescent="0.2">
      <c r="D33" s="47" t="s">
        <v>22</v>
      </c>
      <c r="E33" s="47">
        <f>E32/0.52</f>
        <v>0</v>
      </c>
      <c r="I33" s="47" t="s">
        <v>22</v>
      </c>
      <c r="J33" s="47">
        <f>J32/0.52</f>
        <v>0</v>
      </c>
      <c r="N33" s="47" t="s">
        <v>22</v>
      </c>
      <c r="O33" s="47">
        <f>O32/0.52</f>
        <v>8.8615600653451348E-3</v>
      </c>
      <c r="S33" s="47" t="s">
        <v>22</v>
      </c>
      <c r="T33" s="47">
        <f>T32/0.52</f>
        <v>9.8268842314521202E-4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7F2D-4AB3-8A4A-BB98-B020E8F6E018}">
  <dimension ref="B2:T33"/>
  <sheetViews>
    <sheetView topLeftCell="I6" zoomScale="119" workbookViewId="0">
      <selection activeCell="O33" sqref="O33"/>
    </sheetView>
  </sheetViews>
  <sheetFormatPr baseColWidth="10" defaultColWidth="8.83203125" defaultRowHeight="15" x14ac:dyDescent="0.2"/>
  <cols>
    <col min="2" max="2" width="15.6640625" customWidth="1"/>
    <col min="3" max="3" width="15" customWidth="1"/>
    <col min="4" max="4" width="15.1640625" customWidth="1"/>
    <col min="5" max="5" width="16.1640625" customWidth="1"/>
    <col min="7" max="7" width="16.33203125" customWidth="1"/>
    <col min="8" max="8" width="15.5" customWidth="1"/>
    <col min="9" max="9" width="15.1640625" customWidth="1"/>
    <col min="10" max="10" width="14.6640625" customWidth="1"/>
    <col min="12" max="12" width="16" customWidth="1"/>
    <col min="13" max="13" width="17" customWidth="1"/>
    <col min="14" max="14" width="18" customWidth="1"/>
    <col min="15" max="15" width="20" customWidth="1"/>
    <col min="17" max="17" width="17.6640625" customWidth="1"/>
    <col min="18" max="18" width="21.33203125" customWidth="1"/>
    <col min="19" max="19" width="18.33203125" customWidth="1"/>
    <col min="20" max="20" width="17.33203125" customWidth="1"/>
  </cols>
  <sheetData>
    <row r="2" spans="2:20" ht="36" customHeight="1" x14ac:dyDescent="0.2"/>
    <row r="3" spans="2:20" ht="156" customHeight="1" x14ac:dyDescent="0.2">
      <c r="B3" s="8"/>
      <c r="C3" s="13" t="str">
        <f>B4</f>
        <v>Omogućuje rješavanje upita u roku od nekoliko sekundi, uz pokrivenost 70–80 % standardnih korisničkih pitanja bez uključivanja zaposlenika.</v>
      </c>
      <c r="D3" s="13" t="str">
        <f>B5</f>
        <v>Klijenti samostalno rješavaju većinu administrativnih pitanja, čime se broj upita prema zaposlenicima smanjuje za 30–40 %.</v>
      </c>
      <c r="E3" s="13" t="str">
        <f>B6</f>
        <v>Omogućuju strukturirano usvajanje znanja kroz digitalne materijale, pri čemu jedan edukator može istovremeno podržati 20–50 sudionika.</v>
      </c>
      <c r="G3" s="8"/>
      <c r="H3" s="13" t="str">
        <f>G4</f>
        <v>Omogućuje rješavanje upita u roku od nekoliko sekundi, uz pokrivenost 70–80 % standardnih korisničkih pitanja bez uključivanja zaposlenika.</v>
      </c>
      <c r="I3" s="13" t="str">
        <f>G5</f>
        <v>Klijenti samostalno rješavaju većinu administrativnih pitanja, čime se broj upita prema zaposlenicima smanjuje za 30–40 %.</v>
      </c>
      <c r="J3" s="13" t="str">
        <f>G6</f>
        <v>Omogućuju strukturirano usvajanje znanja kroz digitalne materijale, pri čemu jedan edukator može istovremeno podržati 20–50 sudionika.</v>
      </c>
      <c r="L3" s="8"/>
      <c r="M3" s="13" t="str">
        <f>L4</f>
        <v>Omogućuje rješavanje upita u roku od nekoliko sekundi, uz pokrivenost 70–80 % standardnih korisničkih pitanja bez uključivanja zaposlenika.</v>
      </c>
      <c r="N3" s="13" t="str">
        <f>L5</f>
        <v>Klijenti samostalno rješavaju većinu administrativnih pitanja, čime se broj upita prema zaposlenicima smanjuje za 30–40 %.</v>
      </c>
      <c r="O3" s="13" t="str">
        <f>L6</f>
        <v>Omogućuju strukturirano usvajanje znanja kroz digitalne materijale, pri čemu jedan edukator može istovremeno podržati 20–50 sudionika.</v>
      </c>
      <c r="Q3" s="8"/>
      <c r="R3" s="13" t="str">
        <f>Q4</f>
        <v>Omogućuje rješavanje upita u roku od nekoliko sekundi, uz pokrivenost 70–80 % standardnih korisničkih pitanja bez uključivanja zaposlenika.</v>
      </c>
      <c r="S3" s="13" t="str">
        <f>Q5</f>
        <v>Klijenti samostalno rješavaju većinu administrativnih pitanja, čime se broj upita prema zaposlenicima smanjuje za 30–40 %.</v>
      </c>
      <c r="T3" s="13" t="str">
        <f>Q6</f>
        <v>Omogućuju strukturirano usvajanje znanja kroz digitalne materijale, pri čemu jedan edukator može istovremeno podržati 20–50 sudionika.</v>
      </c>
    </row>
    <row r="4" spans="2:20" ht="154" customHeight="1" x14ac:dyDescent="0.2">
      <c r="B4" s="12" t="s">
        <v>28</v>
      </c>
      <c r="C4" s="8">
        <v>1</v>
      </c>
      <c r="D4" s="20">
        <v>0.33333333333333331</v>
      </c>
      <c r="E4" s="20">
        <v>0.1111111111111111</v>
      </c>
      <c r="G4" s="13" t="str">
        <f>B4</f>
        <v>Omogućuje rješavanje upita u roku od nekoliko sekundi, uz pokrivenost 70–80 % standardnih korisničkih pitanja bez uključivanja zaposlenika.</v>
      </c>
      <c r="H4" s="8">
        <v>1</v>
      </c>
      <c r="I4" s="20">
        <v>0.5</v>
      </c>
      <c r="J4" s="20">
        <v>0.2</v>
      </c>
      <c r="L4" s="13" t="str">
        <f>G4</f>
        <v>Omogućuje rješavanje upita u roku od nekoliko sekundi, uz pokrivenost 70–80 % standardnih korisničkih pitanja bez uključivanja zaposlenika.</v>
      </c>
      <c r="M4" s="8">
        <v>1</v>
      </c>
      <c r="N4" s="20">
        <v>0.33333333333333331</v>
      </c>
      <c r="O4" s="20">
        <v>0.125</v>
      </c>
      <c r="Q4" s="13" t="str">
        <f>L4</f>
        <v>Omogućuje rješavanje upita u roku od nekoliko sekundi, uz pokrivenost 70–80 % standardnih korisničkih pitanja bez uključivanja zaposlenika.</v>
      </c>
      <c r="R4" s="8">
        <f>GEOMEAN(C4,H4,M4)</f>
        <v>1</v>
      </c>
      <c r="S4" s="8">
        <f t="shared" ref="S4:T6" si="0">GEOMEAN(D4,I4,N4)</f>
        <v>0.38157141418444396</v>
      </c>
      <c r="T4" s="8">
        <f t="shared" si="0"/>
        <v>0.14057211088362487</v>
      </c>
    </row>
    <row r="5" spans="2:20" ht="132" customHeight="1" x14ac:dyDescent="0.2">
      <c r="B5" s="12" t="s">
        <v>37</v>
      </c>
      <c r="C5" s="8">
        <v>3</v>
      </c>
      <c r="D5" s="8">
        <v>1</v>
      </c>
      <c r="E5" s="20">
        <v>0.33333333333333331</v>
      </c>
      <c r="G5" s="13" t="str">
        <f t="shared" ref="G5:G6" si="1">B5</f>
        <v>Klijenti samostalno rješavaju većinu administrativnih pitanja, čime se broj upita prema zaposlenicima smanjuje za 30–40 %.</v>
      </c>
      <c r="H5" s="8">
        <v>2</v>
      </c>
      <c r="I5" s="8">
        <v>1</v>
      </c>
      <c r="J5" s="20">
        <v>0.5</v>
      </c>
      <c r="L5" s="13" t="str">
        <f t="shared" ref="L5:L6" si="2">G5</f>
        <v>Klijenti samostalno rješavaju većinu administrativnih pitanja, čime se broj upita prema zaposlenicima smanjuje za 30–40 %.</v>
      </c>
      <c r="M5" s="8">
        <v>3</v>
      </c>
      <c r="N5" s="8">
        <v>1</v>
      </c>
      <c r="O5" s="20">
        <v>0.33333333333333331</v>
      </c>
      <c r="Q5" s="13" t="str">
        <f t="shared" ref="Q5:Q6" si="3">L5</f>
        <v>Klijenti samostalno rješavaju većinu administrativnih pitanja, čime se broj upita prema zaposlenicima smanjuje za 30–40 %.</v>
      </c>
      <c r="R5" s="8">
        <f t="shared" ref="R5:R6" si="4">GEOMEAN(C5,H5,M5)</f>
        <v>2.6207413942088964</v>
      </c>
      <c r="S5" s="8">
        <f t="shared" si="0"/>
        <v>1</v>
      </c>
      <c r="T5" s="8">
        <f t="shared" si="0"/>
        <v>0.38157141418444396</v>
      </c>
    </row>
    <row r="6" spans="2:20" ht="156" customHeight="1" x14ac:dyDescent="0.2">
      <c r="B6" s="12" t="s">
        <v>46</v>
      </c>
      <c r="C6" s="8">
        <v>9</v>
      </c>
      <c r="D6" s="8">
        <v>3</v>
      </c>
      <c r="E6" s="8">
        <v>1</v>
      </c>
      <c r="G6" s="13" t="str">
        <f t="shared" si="1"/>
        <v>Omogućuju strukturirano usvajanje znanja kroz digitalne materijale, pri čemu jedan edukator može istovremeno podržati 20–50 sudionika.</v>
      </c>
      <c r="H6" s="8">
        <v>5</v>
      </c>
      <c r="I6" s="8">
        <v>2</v>
      </c>
      <c r="J6" s="8">
        <v>1</v>
      </c>
      <c r="L6" s="13" t="str">
        <f t="shared" si="2"/>
        <v>Omogućuju strukturirano usvajanje znanja kroz digitalne materijale, pri čemu jedan edukator može istovremeno podržati 20–50 sudionika.</v>
      </c>
      <c r="M6" s="8">
        <v>8</v>
      </c>
      <c r="N6" s="8">
        <v>3</v>
      </c>
      <c r="O6" s="8">
        <v>1</v>
      </c>
      <c r="Q6" s="13" t="str">
        <f t="shared" si="3"/>
        <v>Omogućuju strukturirano usvajanje znanja kroz digitalne materijale, pri čemu jedan edukator može istovremeno podržati 20–50 sudionika.</v>
      </c>
      <c r="R6" s="8">
        <f t="shared" si="4"/>
        <v>7.113786608980126</v>
      </c>
      <c r="S6" s="8">
        <f t="shared" si="0"/>
        <v>2.6207413942088964</v>
      </c>
      <c r="T6" s="8">
        <f t="shared" si="0"/>
        <v>1</v>
      </c>
    </row>
    <row r="8" spans="2:20" hidden="1" x14ac:dyDescent="0.2">
      <c r="C8" s="8">
        <f>SUM(C4:C6)</f>
        <v>13</v>
      </c>
      <c r="D8" s="8">
        <f t="shared" ref="D8:E8" si="5">SUM(D4:D6)</f>
        <v>4.333333333333333</v>
      </c>
      <c r="E8" s="8">
        <f t="shared" si="5"/>
        <v>1.4444444444444444</v>
      </c>
      <c r="H8" s="8">
        <f>SUM(H4:H6)</f>
        <v>8</v>
      </c>
      <c r="I8" s="8">
        <f t="shared" ref="I8:J8" si="6">SUM(I4:I6)</f>
        <v>3.5</v>
      </c>
      <c r="J8" s="8">
        <f t="shared" si="6"/>
        <v>1.7</v>
      </c>
      <c r="M8" s="8">
        <f>SUM(M4:M6)</f>
        <v>12</v>
      </c>
      <c r="N8" s="8">
        <f t="shared" ref="N8:O8" si="7">SUM(N4:N6)</f>
        <v>4.333333333333333</v>
      </c>
      <c r="O8" s="8">
        <f t="shared" si="7"/>
        <v>1.4583333333333333</v>
      </c>
      <c r="R8" s="8">
        <f>SUM(R4:R6)</f>
        <v>10.734528003189023</v>
      </c>
      <c r="S8" s="8">
        <f t="shared" ref="S8:T8" si="8">SUM(S4:S6)</f>
        <v>4.0023128083933406</v>
      </c>
      <c r="T8" s="8">
        <f t="shared" si="8"/>
        <v>1.5221435250680688</v>
      </c>
    </row>
    <row r="9" spans="2:20" hidden="1" x14ac:dyDescent="0.2"/>
    <row r="10" spans="2:20" hidden="1" x14ac:dyDescent="0.2"/>
    <row r="11" spans="2:20" hidden="1" x14ac:dyDescent="0.2">
      <c r="C11" s="8">
        <f>C4/C$8</f>
        <v>7.6923076923076927E-2</v>
      </c>
      <c r="D11" s="8">
        <f>D4/D$8</f>
        <v>7.6923076923076927E-2</v>
      </c>
      <c r="E11" s="8">
        <f>E4/E$8</f>
        <v>7.6923076923076913E-2</v>
      </c>
      <c r="H11" s="8">
        <f>H4/H$8</f>
        <v>0.125</v>
      </c>
      <c r="I11" s="8">
        <f>I4/I$8</f>
        <v>0.14285714285714285</v>
      </c>
      <c r="J11" s="8">
        <f>J4/J$8</f>
        <v>0.11764705882352942</v>
      </c>
      <c r="M11" s="8">
        <f>M4/M$8</f>
        <v>8.3333333333333329E-2</v>
      </c>
      <c r="N11" s="8">
        <f>N4/N$8</f>
        <v>7.6923076923076927E-2</v>
      </c>
      <c r="O11" s="8">
        <f>O4/O$8</f>
        <v>8.5714285714285715E-2</v>
      </c>
      <c r="R11" s="8">
        <f>R4/R$8</f>
        <v>9.3157333019478747E-2</v>
      </c>
      <c r="S11" s="8">
        <f>S4/S$8</f>
        <v>9.5337729071111571E-2</v>
      </c>
      <c r="T11" s="8">
        <f>T4/T$8</f>
        <v>9.2351416649319326E-2</v>
      </c>
    </row>
    <row r="12" spans="2:20" hidden="1" x14ac:dyDescent="0.2">
      <c r="C12" s="8">
        <f t="shared" ref="C12:E13" si="9">C5/C$8</f>
        <v>0.23076923076923078</v>
      </c>
      <c r="D12" s="8">
        <f t="shared" si="9"/>
        <v>0.23076923076923078</v>
      </c>
      <c r="E12" s="8">
        <f t="shared" si="9"/>
        <v>0.23076923076923075</v>
      </c>
      <c r="H12" s="8">
        <f t="shared" ref="H12:J13" si="10">H5/H$8</f>
        <v>0.25</v>
      </c>
      <c r="I12" s="8">
        <f t="shared" si="10"/>
        <v>0.2857142857142857</v>
      </c>
      <c r="J12" s="8">
        <f t="shared" si="10"/>
        <v>0.29411764705882354</v>
      </c>
      <c r="M12" s="8">
        <f t="shared" ref="M12:O13" si="11">M5/M$8</f>
        <v>0.25</v>
      </c>
      <c r="N12" s="8">
        <f t="shared" si="11"/>
        <v>0.23076923076923078</v>
      </c>
      <c r="O12" s="8">
        <f t="shared" si="11"/>
        <v>0.22857142857142856</v>
      </c>
      <c r="R12" s="8">
        <f t="shared" ref="R12:T13" si="12">R5/R$8</f>
        <v>0.24414127881825118</v>
      </c>
      <c r="S12" s="8">
        <f t="shared" si="12"/>
        <v>0.24985553300653499</v>
      </c>
      <c r="T12" s="8">
        <f t="shared" si="12"/>
        <v>0.25068031227040855</v>
      </c>
    </row>
    <row r="13" spans="2:20" hidden="1" x14ac:dyDescent="0.2">
      <c r="C13" s="8">
        <f t="shared" si="9"/>
        <v>0.69230769230769229</v>
      </c>
      <c r="D13" s="8">
        <f t="shared" si="9"/>
        <v>0.6923076923076924</v>
      </c>
      <c r="E13" s="8">
        <f t="shared" si="9"/>
        <v>0.69230769230769229</v>
      </c>
      <c r="H13" s="8">
        <f t="shared" si="10"/>
        <v>0.625</v>
      </c>
      <c r="I13" s="8">
        <f t="shared" si="10"/>
        <v>0.5714285714285714</v>
      </c>
      <c r="J13" s="8">
        <f t="shared" si="10"/>
        <v>0.58823529411764708</v>
      </c>
      <c r="M13" s="8">
        <f t="shared" si="11"/>
        <v>0.66666666666666663</v>
      </c>
      <c r="N13" s="8">
        <f t="shared" si="11"/>
        <v>0.6923076923076924</v>
      </c>
      <c r="O13" s="8">
        <f t="shared" si="11"/>
        <v>0.68571428571428572</v>
      </c>
      <c r="R13" s="8">
        <f t="shared" si="12"/>
        <v>0.66270138816226998</v>
      </c>
      <c r="S13" s="8">
        <f t="shared" si="12"/>
        <v>0.65480673792235344</v>
      </c>
      <c r="T13" s="8">
        <f t="shared" si="12"/>
        <v>0.65696827108027211</v>
      </c>
    </row>
    <row r="14" spans="2:20" hidden="1" x14ac:dyDescent="0.2"/>
    <row r="15" spans="2:20" x14ac:dyDescent="0.2">
      <c r="D15" s="8" t="str">
        <f>B4</f>
        <v>Omogućuje rješavanje upita u roku od nekoliko sekundi, uz pokrivenost 70–80 % standardnih korisničkih pitanja bez uključivanja zaposlenika.</v>
      </c>
      <c r="E15" s="8">
        <f>AVERAGE(C11:E11)</f>
        <v>7.6923076923076927E-2</v>
      </c>
      <c r="I15" s="8" t="str">
        <f>G4</f>
        <v>Omogućuje rješavanje upita u roku od nekoliko sekundi, uz pokrivenost 70–80 % standardnih korisničkih pitanja bez uključivanja zaposlenika.</v>
      </c>
      <c r="J15" s="8">
        <f>AVERAGE(H11:J11)</f>
        <v>0.1285014005602241</v>
      </c>
      <c r="N15" s="8" t="str">
        <f>L4</f>
        <v>Omogućuje rješavanje upita u roku od nekoliko sekundi, uz pokrivenost 70–80 % standardnih korisničkih pitanja bez uključivanja zaposlenika.</v>
      </c>
      <c r="O15" s="8">
        <f>AVERAGE(M11:O11)</f>
        <v>8.199023199023199E-2</v>
      </c>
      <c r="S15" s="8" t="str">
        <f>Q4</f>
        <v>Omogućuje rješavanje upita u roku od nekoliko sekundi, uz pokrivenost 70–80 % standardnih korisničkih pitanja bez uključivanja zaposlenika.</v>
      </c>
      <c r="T15" s="11">
        <f>AVERAGE(R11:T11)</f>
        <v>9.3615492913303219E-2</v>
      </c>
    </row>
    <row r="16" spans="2:20" x14ac:dyDescent="0.2">
      <c r="D16" s="8" t="str">
        <f t="shared" ref="D16:D17" si="13">B5</f>
        <v>Klijenti samostalno rješavaju većinu administrativnih pitanja, čime se broj upita prema zaposlenicima smanjuje za 30–40 %.</v>
      </c>
      <c r="E16" s="8">
        <f t="shared" ref="E16:E17" si="14">AVERAGE(C12:E12)</f>
        <v>0.23076923076923075</v>
      </c>
      <c r="I16" s="8" t="str">
        <f t="shared" ref="I16:I17" si="15">G5</f>
        <v>Klijenti samostalno rješavaju većinu administrativnih pitanja, čime se broj upita prema zaposlenicima smanjuje za 30–40 %.</v>
      </c>
      <c r="J16" s="8">
        <f t="shared" ref="J16:J17" si="16">AVERAGE(H12:J12)</f>
        <v>0.27661064425770304</v>
      </c>
      <c r="N16" s="8" t="str">
        <f t="shared" ref="N16:N17" si="17">L5</f>
        <v>Klijenti samostalno rješavaju većinu administrativnih pitanja, čime se broj upita prema zaposlenicima smanjuje za 30–40 %.</v>
      </c>
      <c r="O16" s="8">
        <f t="shared" ref="O16:O17" si="18">AVERAGE(M12:O12)</f>
        <v>0.23644688644688647</v>
      </c>
      <c r="S16" s="8" t="str">
        <f t="shared" ref="S16:S17" si="19">Q5</f>
        <v>Klijenti samostalno rješavaju većinu administrativnih pitanja, čime se broj upita prema zaposlenicima smanjuje za 30–40 %.</v>
      </c>
      <c r="T16" s="11">
        <f t="shared" ref="T16:T17" si="20">AVERAGE(R12:T12)</f>
        <v>0.24822570803173158</v>
      </c>
    </row>
    <row r="17" spans="2:20" x14ac:dyDescent="0.2">
      <c r="D17" s="8" t="str">
        <f t="shared" si="13"/>
        <v>Omogućuju strukturirano usvajanje znanja kroz digitalne materijale, pri čemu jedan edukator može istovremeno podržati 20–50 sudionika.</v>
      </c>
      <c r="E17" s="8">
        <f t="shared" si="14"/>
        <v>0.69230769230769218</v>
      </c>
      <c r="I17" s="8" t="str">
        <f t="shared" si="15"/>
        <v>Omogućuju strukturirano usvajanje znanja kroz digitalne materijale, pri čemu jedan edukator može istovremeno podržati 20–50 sudionika.</v>
      </c>
      <c r="J17" s="8">
        <f t="shared" si="16"/>
        <v>0.59488795518207283</v>
      </c>
      <c r="N17" s="8" t="str">
        <f t="shared" si="17"/>
        <v>Omogućuju strukturirano usvajanje znanja kroz digitalne materijale, pri čemu jedan edukator može istovremeno podržati 20–50 sudionika.</v>
      </c>
      <c r="O17" s="8">
        <f t="shared" si="18"/>
        <v>0.68156288156288147</v>
      </c>
      <c r="S17" s="8" t="str">
        <f t="shared" si="19"/>
        <v>Omogućuju strukturirano usvajanje znanja kroz digitalne materijale, pri čemu jedan edukator može istovremeno podržati 20–50 sudionika.</v>
      </c>
      <c r="T17" s="11">
        <f t="shared" si="20"/>
        <v>0.6581587990549651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7.6923076923076927E-2</v>
      </c>
      <c r="D21" s="8">
        <f>D4*E$16</f>
        <v>7.6923076923076913E-2</v>
      </c>
      <c r="E21" s="8">
        <f>E4*E$17</f>
        <v>7.69230769230769E-2</v>
      </c>
      <c r="H21" s="8">
        <f>H4*J$15</f>
        <v>0.1285014005602241</v>
      </c>
      <c r="I21" s="8">
        <f>I4*J$16</f>
        <v>0.13830532212885152</v>
      </c>
      <c r="J21" s="8">
        <f>J4*J$17</f>
        <v>0.11897759103641457</v>
      </c>
      <c r="M21" s="8">
        <f>M4*O$15</f>
        <v>8.199023199023199E-2</v>
      </c>
      <c r="N21" s="8">
        <f>N4*O$16</f>
        <v>7.8815628815628813E-2</v>
      </c>
      <c r="O21" s="8">
        <f>O4*O$17</f>
        <v>8.5195360195360184E-2</v>
      </c>
      <c r="R21" s="8">
        <f>R4*T$15</f>
        <v>9.3615492913303219E-2</v>
      </c>
      <c r="S21" s="8">
        <f>S4*T$16</f>
        <v>9.4715834450602707E-2</v>
      </c>
      <c r="T21" s="8">
        <f>T4*T$17</f>
        <v>9.2518771679787934E-2</v>
      </c>
    </row>
    <row r="22" spans="2:20" hidden="1" x14ac:dyDescent="0.2">
      <c r="C22" s="8">
        <f t="shared" ref="C22:C23" si="21">C5*E$15</f>
        <v>0.23076923076923078</v>
      </c>
      <c r="D22" s="8">
        <f t="shared" ref="D22:D23" si="22">D5*E$16</f>
        <v>0.23076923076923075</v>
      </c>
      <c r="E22" s="8">
        <f t="shared" ref="E22:E23" si="23">E5*E$17</f>
        <v>0.23076923076923073</v>
      </c>
      <c r="H22" s="8">
        <f t="shared" ref="H22:H23" si="24">H5*J$15</f>
        <v>0.25700280112044821</v>
      </c>
      <c r="I22" s="8">
        <f t="shared" ref="I22:I23" si="25">I5*J$16</f>
        <v>0.27661064425770304</v>
      </c>
      <c r="J22" s="8">
        <f t="shared" ref="J22:J23" si="26">J5*J$17</f>
        <v>0.29744397759103641</v>
      </c>
      <c r="M22" s="8">
        <f t="shared" ref="M22:M23" si="27">M5*O$15</f>
        <v>0.24597069597069599</v>
      </c>
      <c r="N22" s="8">
        <f t="shared" ref="N22:N23" si="28">N5*O$16</f>
        <v>0.23644688644688647</v>
      </c>
      <c r="O22" s="8">
        <f t="shared" ref="O22:O23" si="29">O5*O$17</f>
        <v>0.22718762718762714</v>
      </c>
      <c r="R22" s="8">
        <f t="shared" ref="R22:R23" si="30">R5*T$15</f>
        <v>0.24534199741716334</v>
      </c>
      <c r="S22" s="8">
        <f t="shared" ref="S22:S23" si="31">S5*T$16</f>
        <v>0.24822570803173158</v>
      </c>
      <c r="T22" s="8">
        <f t="shared" ref="T22:T23" si="32">T5*T$17</f>
        <v>0.2511345837133383</v>
      </c>
    </row>
    <row r="23" spans="2:20" hidden="1" x14ac:dyDescent="0.2">
      <c r="C23" s="8">
        <f t="shared" si="21"/>
        <v>0.69230769230769229</v>
      </c>
      <c r="D23" s="8">
        <f t="shared" si="22"/>
        <v>0.69230769230769229</v>
      </c>
      <c r="E23" s="8">
        <f t="shared" si="23"/>
        <v>0.69230769230769218</v>
      </c>
      <c r="H23" s="8">
        <f t="shared" si="24"/>
        <v>0.6425070028011205</v>
      </c>
      <c r="I23" s="8">
        <f t="shared" si="25"/>
        <v>0.55322128851540608</v>
      </c>
      <c r="J23" s="8">
        <f t="shared" si="26"/>
        <v>0.59488795518207283</v>
      </c>
      <c r="M23" s="8">
        <f t="shared" si="27"/>
        <v>0.65592185592185592</v>
      </c>
      <c r="N23" s="8">
        <f t="shared" si="28"/>
        <v>0.70934065934065937</v>
      </c>
      <c r="O23" s="8">
        <f t="shared" si="29"/>
        <v>0.68156288156288147</v>
      </c>
      <c r="R23" s="8">
        <f t="shared" si="30"/>
        <v>0.66596063987973031</v>
      </c>
      <c r="S23" s="8">
        <f t="shared" si="31"/>
        <v>0.65053538814557066</v>
      </c>
      <c r="T23" s="8">
        <f t="shared" si="32"/>
        <v>0.6581587990549651</v>
      </c>
    </row>
    <row r="24" spans="2:20" hidden="1" x14ac:dyDescent="0.2"/>
    <row r="25" spans="2:20" hidden="1" x14ac:dyDescent="0.2">
      <c r="C25" s="8">
        <f>SUM(C21:E21)</f>
        <v>0.23076923076923075</v>
      </c>
      <c r="D25" s="8">
        <f>SUM(C22:E22)</f>
        <v>0.69230769230769229</v>
      </c>
      <c r="E25" s="8">
        <f>SUM(C23:E23)</f>
        <v>2.0769230769230766</v>
      </c>
      <c r="H25" s="8">
        <f>SUM(H21:J21)</f>
        <v>0.38578431372549021</v>
      </c>
      <c r="I25" s="8">
        <f>SUM(H22:J22)</f>
        <v>0.83105742296918761</v>
      </c>
      <c r="J25" s="8">
        <f>SUM(H23:J23)</f>
        <v>1.7906162464985993</v>
      </c>
      <c r="M25" s="8">
        <f>SUM(M21:O21)</f>
        <v>0.24600122100122096</v>
      </c>
      <c r="N25" s="8">
        <f>SUM(M22:O22)</f>
        <v>0.70960520960520967</v>
      </c>
      <c r="O25" s="8">
        <f>SUM(M23:O23)</f>
        <v>2.0468253968253967</v>
      </c>
      <c r="R25" s="8">
        <f>SUM(R21:T21)</f>
        <v>0.28085009904369385</v>
      </c>
      <c r="S25" s="8">
        <f>SUM(R22:T22)</f>
        <v>0.74470228916223324</v>
      </c>
      <c r="T25" s="8">
        <f>SUM(R23:T23)</f>
        <v>1.9746548270802662</v>
      </c>
    </row>
    <row r="26" spans="2:20" hidden="1" x14ac:dyDescent="0.2"/>
    <row r="27" spans="2:20" hidden="1" x14ac:dyDescent="0.2">
      <c r="C27" s="8">
        <f>E15</f>
        <v>7.6923076923076927E-2</v>
      </c>
      <c r="D27" s="8">
        <f>E16</f>
        <v>0.23076923076923075</v>
      </c>
      <c r="E27" s="8">
        <f>E17</f>
        <v>0.69230769230769218</v>
      </c>
      <c r="H27" s="8">
        <f>J15</f>
        <v>0.1285014005602241</v>
      </c>
      <c r="I27" s="8">
        <f>J16</f>
        <v>0.27661064425770304</v>
      </c>
      <c r="J27" s="8">
        <f>J17</f>
        <v>0.59488795518207283</v>
      </c>
      <c r="M27" s="8">
        <f>O15</f>
        <v>8.199023199023199E-2</v>
      </c>
      <c r="N27" s="8">
        <f>O16</f>
        <v>0.23644688644688647</v>
      </c>
      <c r="O27" s="8">
        <f>O17</f>
        <v>0.68156288156288147</v>
      </c>
      <c r="R27" s="8">
        <f>T15</f>
        <v>9.3615492913303219E-2</v>
      </c>
      <c r="S27" s="8">
        <f>T16</f>
        <v>0.24822570803173158</v>
      </c>
      <c r="T27" s="8">
        <f>T17</f>
        <v>0.6581587990549651</v>
      </c>
    </row>
    <row r="28" spans="2:20" hidden="1" x14ac:dyDescent="0.2"/>
    <row r="29" spans="2:20" hidden="1" x14ac:dyDescent="0.2">
      <c r="C29" s="8">
        <f>C25/C27</f>
        <v>2.9999999999999996</v>
      </c>
      <c r="D29" s="8">
        <f t="shared" ref="D29:E29" si="33">D25/D27</f>
        <v>3</v>
      </c>
      <c r="E29" s="8">
        <f t="shared" si="33"/>
        <v>3</v>
      </c>
      <c r="H29" s="8">
        <f>H25/H27</f>
        <v>3.0021798365122612</v>
      </c>
      <c r="I29" s="8">
        <f t="shared" ref="I29:J29" si="34">I25/I27</f>
        <v>3.0044303797468355</v>
      </c>
      <c r="J29" s="8">
        <f t="shared" si="34"/>
        <v>3.0100058858151852</v>
      </c>
      <c r="M29" s="8">
        <f>M25/M27</f>
        <v>3.0003723008190613</v>
      </c>
      <c r="N29" s="8">
        <f t="shared" ref="N29:O29" si="35">N25/N27</f>
        <v>3.0011188570444962</v>
      </c>
      <c r="O29" s="8">
        <f t="shared" si="35"/>
        <v>3.0031350770333214</v>
      </c>
      <c r="R29" s="8">
        <f>R25/R27</f>
        <v>3.000038672058134</v>
      </c>
      <c r="S29" s="8">
        <f t="shared" ref="S29:T29" si="36">S25/S27</f>
        <v>3.0001013797774534</v>
      </c>
      <c r="T29" s="8">
        <f t="shared" si="36"/>
        <v>3.0002711046568504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</v>
      </c>
      <c r="I31" s="8" t="s">
        <v>20</v>
      </c>
      <c r="J31" s="8">
        <f>AVERAGE(H29:J29)</f>
        <v>3.0055387006914267</v>
      </c>
      <c r="N31" s="8" t="s">
        <v>20</v>
      </c>
      <c r="O31" s="8">
        <f>AVERAGE(M29:O29)</f>
        <v>3.0015420782989595</v>
      </c>
      <c r="S31" s="8" t="s">
        <v>20</v>
      </c>
      <c r="T31" s="8">
        <f>AVERAGE(R29:T29)</f>
        <v>3.0001370521641459</v>
      </c>
    </row>
    <row r="32" spans="2:20" hidden="1" x14ac:dyDescent="0.2">
      <c r="D32" s="8" t="s">
        <v>21</v>
      </c>
      <c r="E32" s="8">
        <f>(E31-3)/2</f>
        <v>0</v>
      </c>
      <c r="I32" s="8" t="s">
        <v>21</v>
      </c>
      <c r="J32" s="8">
        <f>(J31-3)/2</f>
        <v>2.7693503457133506E-3</v>
      </c>
      <c r="N32" s="8" t="s">
        <v>21</v>
      </c>
      <c r="O32" s="8">
        <f>(O31-3)/2</f>
        <v>7.7103914947973529E-4</v>
      </c>
      <c r="S32" s="8" t="s">
        <v>21</v>
      </c>
      <c r="T32" s="8">
        <f>(T31-3)/2</f>
        <v>6.8526082072972727E-5</v>
      </c>
    </row>
    <row r="33" spans="4:20" s="117" customFormat="1" x14ac:dyDescent="0.2">
      <c r="D33" s="47" t="s">
        <v>22</v>
      </c>
      <c r="E33" s="47">
        <f>E32/0.52</f>
        <v>0</v>
      </c>
      <c r="I33" s="47" t="s">
        <v>22</v>
      </c>
      <c r="J33" s="47">
        <f>J32/0.52</f>
        <v>5.3256737417564431E-3</v>
      </c>
      <c r="N33" s="47" t="s">
        <v>22</v>
      </c>
      <c r="O33" s="47">
        <f>O32/0.52</f>
        <v>1.4827675951533371E-3</v>
      </c>
      <c r="S33" s="47" t="s">
        <v>22</v>
      </c>
      <c r="T33" s="47">
        <f>T32/0.52</f>
        <v>1.3178092706340907E-4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D72C-A4F2-8A49-B934-6E46E86D34A0}">
  <dimension ref="B3:T33"/>
  <sheetViews>
    <sheetView topLeftCell="B3" zoomScale="84" workbookViewId="0">
      <selection activeCell="O33" sqref="O33"/>
    </sheetView>
  </sheetViews>
  <sheetFormatPr baseColWidth="10" defaultColWidth="8.83203125" defaultRowHeight="15" x14ac:dyDescent="0.2"/>
  <cols>
    <col min="2" max="2" width="16" customWidth="1"/>
    <col min="3" max="3" width="15.1640625" customWidth="1"/>
    <col min="4" max="5" width="13" customWidth="1"/>
    <col min="7" max="7" width="17.5" customWidth="1"/>
    <col min="8" max="8" width="14" customWidth="1"/>
    <col min="9" max="9" width="13.83203125" customWidth="1"/>
    <col min="10" max="10" width="10.83203125" customWidth="1"/>
    <col min="12" max="12" width="14.33203125" customWidth="1"/>
    <col min="13" max="13" width="15.1640625" customWidth="1"/>
    <col min="14" max="14" width="15.6640625" customWidth="1"/>
    <col min="15" max="15" width="12.6640625" customWidth="1"/>
    <col min="17" max="17" width="15.5" customWidth="1"/>
    <col min="18" max="18" width="17.33203125" customWidth="1"/>
    <col min="19" max="19" width="14" customWidth="1"/>
    <col min="20" max="20" width="12.1640625" customWidth="1"/>
  </cols>
  <sheetData>
    <row r="3" spans="2:20" ht="169" customHeight="1" x14ac:dyDescent="0.2">
      <c r="B3" s="8"/>
      <c r="C3" s="13" t="str">
        <f>B4</f>
        <v>Potrebna je integracija s internim bazama podataka i CRM sustavom, uz kontinuirano ažuriranje informacija i zaštitu osjetljivih podataka.</v>
      </c>
      <c r="D3" s="13" t="str">
        <f>B5</f>
        <v>Portal se povezuje s bazom klijenata i certifikacijskim sustavom, a integracija je izvediva uz postojeću IT infrastrukturu.</v>
      </c>
      <c r="E3" s="13" t="str">
        <f>B6</f>
        <v>Integracija se svodi na povezivanje LMS-a s korisničkom bazom i sustavom za naplatu.</v>
      </c>
      <c r="G3" s="8"/>
      <c r="H3" s="13" t="str">
        <f>G4</f>
        <v>Potrebna je integracija s internim bazama podataka i CRM sustavom, uz kontinuirano ažuriranje informacija i zaštitu osjetljivih podataka.</v>
      </c>
      <c r="I3" s="13" t="str">
        <f>G5</f>
        <v>Portal se povezuje s bazom klijenata i certifikacijskim sustavom, a integracija je izvediva uz postojeću IT infrastrukturu.</v>
      </c>
      <c r="J3" s="13" t="str">
        <f>G6</f>
        <v>Integracija se svodi na povezivanje LMS-a s korisničkom bazom i sustavom za naplatu.</v>
      </c>
      <c r="L3" s="8"/>
      <c r="M3" s="13" t="str">
        <f>L4</f>
        <v>Potrebna je integracija s internim bazama podataka i CRM sustavom, uz kontinuirano ažuriranje informacija i zaštitu osjetljivih podataka.</v>
      </c>
      <c r="N3" s="13" t="str">
        <f>L5</f>
        <v>Portal se povezuje s bazom klijenata i certifikacijskim sustavom, a integracija je izvediva uz postojeću IT infrastrukturu.</v>
      </c>
      <c r="O3" s="13" t="str">
        <f>L6</f>
        <v>Integracija se svodi na povezivanje LMS-a s korisničkom bazom i sustavom za naplatu.</v>
      </c>
      <c r="Q3" s="8"/>
      <c r="R3" s="13" t="str">
        <f>Q4</f>
        <v>Potrebna je integracija s internim bazama podataka i CRM sustavom, uz kontinuirano ažuriranje informacija i zaštitu osjetljivih podataka.</v>
      </c>
      <c r="S3" s="13" t="str">
        <f>Q5</f>
        <v>Portal se povezuje s bazom klijenata i certifikacijskim sustavom, a integracija je izvediva uz postojeću IT infrastrukturu.</v>
      </c>
      <c r="T3" s="13" t="str">
        <f>Q6</f>
        <v>Integracija se svodi na povezivanje LMS-a s korisničkom bazom i sustavom za naplatu.</v>
      </c>
    </row>
    <row r="4" spans="2:20" ht="151" customHeight="1" x14ac:dyDescent="0.2">
      <c r="B4" s="12" t="s">
        <v>33</v>
      </c>
      <c r="C4" s="8">
        <v>1</v>
      </c>
      <c r="D4" s="20">
        <v>0.25</v>
      </c>
      <c r="E4" s="20">
        <v>0.33333333333333331</v>
      </c>
      <c r="G4" s="13" t="str">
        <f>B4</f>
        <v>Potrebna je integracija s internim bazama podataka i CRM sustavom, uz kontinuirano ažuriranje informacija i zaštitu osjetljivih podataka.</v>
      </c>
      <c r="H4" s="8">
        <v>1</v>
      </c>
      <c r="I4" s="20">
        <v>0.2</v>
      </c>
      <c r="J4" s="20">
        <v>0.5</v>
      </c>
      <c r="L4" s="13" t="str">
        <f>G4</f>
        <v>Potrebna je integracija s internim bazama podataka i CRM sustavom, uz kontinuirano ažuriranje informacija i zaštitu osjetljivih podataka.</v>
      </c>
      <c r="M4" s="8">
        <v>1</v>
      </c>
      <c r="N4" s="20">
        <v>0.33333333333333331</v>
      </c>
      <c r="O4" s="20">
        <v>0.5</v>
      </c>
      <c r="Q4" s="13" t="str">
        <f>L4</f>
        <v>Potrebna je integracija s internim bazama podataka i CRM sustavom, uz kontinuirano ažuriranje informacija i zaštitu osjetljivih podataka.</v>
      </c>
      <c r="R4" s="8">
        <f>GEOMEAN(C4,H4,M4)</f>
        <v>1</v>
      </c>
      <c r="S4" s="8">
        <f t="shared" ref="S4:T6" si="0">GEOMEAN(D4,I4,N4)</f>
        <v>0.2554364774645177</v>
      </c>
      <c r="T4" s="8">
        <f t="shared" si="0"/>
        <v>0.43679023236814946</v>
      </c>
    </row>
    <row r="5" spans="2:20" ht="143" customHeight="1" x14ac:dyDescent="0.2">
      <c r="B5" s="12" t="s">
        <v>42</v>
      </c>
      <c r="C5" s="8">
        <v>4</v>
      </c>
      <c r="D5" s="8">
        <v>1</v>
      </c>
      <c r="E5" s="8">
        <v>2</v>
      </c>
      <c r="G5" s="13" t="str">
        <f>B5</f>
        <v>Portal se povezuje s bazom klijenata i certifikacijskim sustavom, a integracija je izvediva uz postojeću IT infrastrukturu.</v>
      </c>
      <c r="H5" s="8">
        <v>5</v>
      </c>
      <c r="I5" s="8">
        <v>1</v>
      </c>
      <c r="J5" s="8">
        <v>3</v>
      </c>
      <c r="L5" s="13" t="str">
        <f t="shared" ref="L5:L6" si="1">G5</f>
        <v>Portal se povezuje s bazom klijenata i certifikacijskim sustavom, a integracija je izvediva uz postojeću IT infrastrukturu.</v>
      </c>
      <c r="M5" s="8">
        <v>3</v>
      </c>
      <c r="N5" s="8">
        <v>1</v>
      </c>
      <c r="O5" s="8">
        <v>2</v>
      </c>
      <c r="Q5" s="13" t="str">
        <f t="shared" ref="Q5:Q6" si="2">L5</f>
        <v>Portal se povezuje s bazom klijenata i certifikacijskim sustavom, a integracija je izvediva uz postojeću IT infrastrukturu.</v>
      </c>
      <c r="R5" s="8">
        <f t="shared" ref="R5:R6" si="3">GEOMEAN(C5,H5,M5)</f>
        <v>3.9148676411688634</v>
      </c>
      <c r="S5" s="8">
        <f t="shared" si="0"/>
        <v>1</v>
      </c>
      <c r="T5" s="8">
        <f t="shared" si="0"/>
        <v>2.2894284851066637</v>
      </c>
    </row>
    <row r="6" spans="2:20" ht="80" customHeight="1" x14ac:dyDescent="0.2">
      <c r="B6" s="12" t="s">
        <v>51</v>
      </c>
      <c r="C6" s="8">
        <v>3</v>
      </c>
      <c r="D6" s="20">
        <v>0.5</v>
      </c>
      <c r="E6" s="8">
        <v>1</v>
      </c>
      <c r="G6" s="13" t="str">
        <f t="shared" ref="G6" si="4">B6</f>
        <v>Integracija se svodi na povezivanje LMS-a s korisničkom bazom i sustavom za naplatu.</v>
      </c>
      <c r="H6" s="8">
        <v>2</v>
      </c>
      <c r="I6" s="20">
        <v>0.33333333333333331</v>
      </c>
      <c r="J6" s="8">
        <v>1</v>
      </c>
      <c r="L6" s="13" t="str">
        <f t="shared" si="1"/>
        <v>Integracija se svodi na povezivanje LMS-a s korisničkom bazom i sustavom za naplatu.</v>
      </c>
      <c r="M6" s="8">
        <v>2</v>
      </c>
      <c r="N6" s="20">
        <v>0.5</v>
      </c>
      <c r="O6" s="8">
        <v>1</v>
      </c>
      <c r="Q6" s="13" t="str">
        <f t="shared" si="2"/>
        <v>Integracija se svodi na povezivanje LMS-a s korisničkom bazom i sustavom za naplatu.</v>
      </c>
      <c r="R6" s="8">
        <f t="shared" si="3"/>
        <v>2.2894284851066637</v>
      </c>
      <c r="S6" s="8">
        <f t="shared" si="0"/>
        <v>0.43679023236814946</v>
      </c>
      <c r="T6" s="8">
        <f t="shared" si="0"/>
        <v>1</v>
      </c>
    </row>
    <row r="8" spans="2:20" hidden="1" x14ac:dyDescent="0.2">
      <c r="C8" s="8">
        <f>SUM(C4:C6)</f>
        <v>8</v>
      </c>
      <c r="D8" s="8">
        <f t="shared" ref="D8:E8" si="5">SUM(D4:D6)</f>
        <v>1.75</v>
      </c>
      <c r="E8" s="8">
        <f t="shared" si="5"/>
        <v>3.3333333333333335</v>
      </c>
      <c r="H8" s="8">
        <f>SUM(H4:H6)</f>
        <v>8</v>
      </c>
      <c r="I8" s="8">
        <f t="shared" ref="I8:J8" si="6">SUM(I4:I6)</f>
        <v>1.5333333333333332</v>
      </c>
      <c r="J8" s="8">
        <f t="shared" si="6"/>
        <v>4.5</v>
      </c>
      <c r="M8" s="8">
        <f>SUM(M4:M6)</f>
        <v>6</v>
      </c>
      <c r="N8" s="8">
        <f t="shared" ref="N8:O8" si="7">SUM(N4:N6)</f>
        <v>1.8333333333333333</v>
      </c>
      <c r="O8" s="8">
        <f t="shared" si="7"/>
        <v>3.5</v>
      </c>
      <c r="R8" s="8">
        <f>SUM(R4:R6)</f>
        <v>7.2042961262755263</v>
      </c>
      <c r="S8" s="8">
        <f t="shared" ref="S8:T8" si="8">SUM(S4:S6)</f>
        <v>1.6922267098326671</v>
      </c>
      <c r="T8" s="8">
        <f t="shared" si="8"/>
        <v>3.7262187174748131</v>
      </c>
    </row>
    <row r="9" spans="2:20" hidden="1" x14ac:dyDescent="0.2"/>
    <row r="10" spans="2:20" hidden="1" x14ac:dyDescent="0.2"/>
    <row r="11" spans="2:20" hidden="1" x14ac:dyDescent="0.2">
      <c r="C11" s="8">
        <f>C4/C$8</f>
        <v>0.125</v>
      </c>
      <c r="D11" s="8">
        <f>D4/D$8</f>
        <v>0.14285714285714285</v>
      </c>
      <c r="E11" s="8">
        <f>E4/E$8</f>
        <v>9.9999999999999992E-2</v>
      </c>
      <c r="H11" s="8">
        <f>H4/H$8</f>
        <v>0.125</v>
      </c>
      <c r="I11" s="8">
        <f>I4/I$8</f>
        <v>0.13043478260869568</v>
      </c>
      <c r="J11" s="8">
        <f>J4/J$8</f>
        <v>0.1111111111111111</v>
      </c>
      <c r="M11" s="8">
        <f>M4/M$8</f>
        <v>0.16666666666666666</v>
      </c>
      <c r="N11" s="8">
        <f>N4/N$8</f>
        <v>0.18181818181818182</v>
      </c>
      <c r="O11" s="8">
        <f>O4/O$8</f>
        <v>0.14285714285714285</v>
      </c>
      <c r="R11" s="8">
        <f>R4/R$8</f>
        <v>0.13880606550205474</v>
      </c>
      <c r="S11" s="8">
        <f>S4/S$8</f>
        <v>0.15094695999082539</v>
      </c>
      <c r="T11" s="8">
        <f>T4/T$8</f>
        <v>0.11722077137333307</v>
      </c>
    </row>
    <row r="12" spans="2:20" hidden="1" x14ac:dyDescent="0.2">
      <c r="C12" s="8">
        <f t="shared" ref="C12:E13" si="9">C5/C$8</f>
        <v>0.5</v>
      </c>
      <c r="D12" s="8">
        <f t="shared" si="9"/>
        <v>0.5714285714285714</v>
      </c>
      <c r="E12" s="8">
        <f t="shared" si="9"/>
        <v>0.6</v>
      </c>
      <c r="H12" s="8">
        <f t="shared" ref="H12:J13" si="10">H5/H$8</f>
        <v>0.625</v>
      </c>
      <c r="I12" s="8">
        <f t="shared" si="10"/>
        <v>0.65217391304347827</v>
      </c>
      <c r="J12" s="8">
        <f t="shared" si="10"/>
        <v>0.66666666666666663</v>
      </c>
      <c r="M12" s="8">
        <f t="shared" ref="M12:O13" si="11">M5/M$8</f>
        <v>0.5</v>
      </c>
      <c r="N12" s="8">
        <f t="shared" si="11"/>
        <v>0.54545454545454553</v>
      </c>
      <c r="O12" s="8">
        <f t="shared" si="11"/>
        <v>0.5714285714285714</v>
      </c>
      <c r="R12" s="8">
        <f t="shared" ref="R12:T13" si="12">R5/R$8</f>
        <v>0.54340737423195984</v>
      </c>
      <c r="S12" s="8">
        <f t="shared" si="12"/>
        <v>0.59093736920089346</v>
      </c>
      <c r="T12" s="8">
        <f t="shared" si="12"/>
        <v>0.61441065559838248</v>
      </c>
    </row>
    <row r="13" spans="2:20" hidden="1" x14ac:dyDescent="0.2">
      <c r="C13" s="8">
        <f t="shared" si="9"/>
        <v>0.375</v>
      </c>
      <c r="D13" s="8">
        <f t="shared" si="9"/>
        <v>0.2857142857142857</v>
      </c>
      <c r="E13" s="8">
        <f t="shared" si="9"/>
        <v>0.3</v>
      </c>
      <c r="H13" s="8">
        <f t="shared" si="10"/>
        <v>0.25</v>
      </c>
      <c r="I13" s="8">
        <f t="shared" si="10"/>
        <v>0.21739130434782608</v>
      </c>
      <c r="J13" s="8">
        <f t="shared" si="10"/>
        <v>0.22222222222222221</v>
      </c>
      <c r="M13" s="8">
        <f t="shared" si="11"/>
        <v>0.33333333333333331</v>
      </c>
      <c r="N13" s="8">
        <f t="shared" si="11"/>
        <v>0.27272727272727276</v>
      </c>
      <c r="O13" s="8">
        <f t="shared" si="11"/>
        <v>0.2857142857142857</v>
      </c>
      <c r="R13" s="8">
        <f t="shared" si="12"/>
        <v>0.31778656026598556</v>
      </c>
      <c r="S13" s="8">
        <f t="shared" si="12"/>
        <v>0.25811567080828118</v>
      </c>
      <c r="T13" s="8">
        <f t="shared" si="12"/>
        <v>0.26836857302828449</v>
      </c>
    </row>
    <row r="14" spans="2:20" hidden="1" x14ac:dyDescent="0.2"/>
    <row r="15" spans="2:20" x14ac:dyDescent="0.2">
      <c r="D15" s="8" t="str">
        <f>B4</f>
        <v>Potrebna je integracija s internim bazama podataka i CRM sustavom, uz kontinuirano ažuriranje informacija i zaštitu osjetljivih podataka.</v>
      </c>
      <c r="E15" s="8">
        <f>AVERAGE(C11:E11)</f>
        <v>0.12261904761904761</v>
      </c>
      <c r="I15" s="8" t="str">
        <f>G4</f>
        <v>Potrebna je integracija s internim bazama podataka i CRM sustavom, uz kontinuirano ažuriranje informacija i zaštitu osjetljivih podataka.</v>
      </c>
      <c r="J15" s="8">
        <f>AVERAGE(H11:J11)</f>
        <v>0.12218196457326892</v>
      </c>
      <c r="N15" s="8" t="str">
        <f>L4</f>
        <v>Potrebna je integracija s internim bazama podataka i CRM sustavom, uz kontinuirano ažuriranje informacija i zaštitu osjetljivih podataka.</v>
      </c>
      <c r="O15" s="8">
        <f>AVERAGE(M11:O11)</f>
        <v>0.16378066378066378</v>
      </c>
      <c r="S15" s="8" t="str">
        <f>Q4</f>
        <v>Potrebna je integracija s internim bazama podataka i CRM sustavom, uz kontinuirano ažuriranje informacija i zaštitu osjetljivih podataka.</v>
      </c>
      <c r="T15" s="11">
        <f>AVERAGE(R11:T11)</f>
        <v>0.13565793228873774</v>
      </c>
    </row>
    <row r="16" spans="2:20" x14ac:dyDescent="0.2">
      <c r="D16" s="8" t="str">
        <f t="shared" ref="D16:D17" si="13">B5</f>
        <v>Portal se povezuje s bazom klijenata i certifikacijskim sustavom, a integracija je izvediva uz postojeću IT infrastrukturu.</v>
      </c>
      <c r="E16" s="8">
        <f t="shared" ref="E16:E17" si="14">AVERAGE(C12:E12)</f>
        <v>0.55714285714285705</v>
      </c>
      <c r="I16" s="8" t="str">
        <f t="shared" ref="I16:I17" si="15">G5</f>
        <v>Portal se povezuje s bazom klijenata i certifikacijskim sustavom, a integracija je izvediva uz postojeću IT infrastrukturu.</v>
      </c>
      <c r="J16" s="8">
        <f t="shared" ref="J16:J17" si="16">AVERAGE(H12:J12)</f>
        <v>0.64794685990338163</v>
      </c>
      <c r="N16" s="8" t="str">
        <f t="shared" ref="N16:N17" si="17">L5</f>
        <v>Portal se povezuje s bazom klijenata i certifikacijskim sustavom, a integracija je izvediva uz postojeću IT infrastrukturu.</v>
      </c>
      <c r="O16" s="8">
        <f t="shared" ref="O16:O17" si="18">AVERAGE(M12:O12)</f>
        <v>0.53896103896103897</v>
      </c>
      <c r="S16" s="8" t="str">
        <f t="shared" ref="S16:S17" si="19">Q5</f>
        <v>Portal se povezuje s bazom klijenata i certifikacijskim sustavom, a integracija je izvediva uz postojeću IT infrastrukturu.</v>
      </c>
      <c r="T16" s="11">
        <f t="shared" ref="T16:T17" si="20">AVERAGE(R12:T12)</f>
        <v>0.58291846634374522</v>
      </c>
    </row>
    <row r="17" spans="2:20" x14ac:dyDescent="0.2">
      <c r="D17" s="8" t="str">
        <f t="shared" si="13"/>
        <v>Integracija se svodi na povezivanje LMS-a s korisničkom bazom i sustavom za naplatu.</v>
      </c>
      <c r="E17" s="8">
        <f t="shared" si="14"/>
        <v>0.32023809523809521</v>
      </c>
      <c r="I17" s="8" t="str">
        <f t="shared" si="15"/>
        <v>Integracija se svodi na povezivanje LMS-a s korisničkom bazom i sustavom za naplatu.</v>
      </c>
      <c r="J17" s="8">
        <f t="shared" si="16"/>
        <v>0.22987117552334943</v>
      </c>
      <c r="N17" s="8" t="str">
        <f t="shared" si="17"/>
        <v>Integracija se svodi na povezivanje LMS-a s korisničkom bazom i sustavom za naplatu.</v>
      </c>
      <c r="O17" s="8">
        <f t="shared" si="18"/>
        <v>0.29725829725829728</v>
      </c>
      <c r="S17" s="8" t="str">
        <f t="shared" si="19"/>
        <v>Integracija se svodi na povezivanje LMS-a s korisničkom bazom i sustavom za naplatu.</v>
      </c>
      <c r="T17" s="11">
        <f t="shared" si="20"/>
        <v>0.2814236013675171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0.12261904761904761</v>
      </c>
      <c r="D21" s="8">
        <f>D4*E$16</f>
        <v>0.13928571428571426</v>
      </c>
      <c r="E21" s="8">
        <f>E4*E$17</f>
        <v>0.10674603174603173</v>
      </c>
      <c r="H21" s="8">
        <f>H4*J$15</f>
        <v>0.12218196457326892</v>
      </c>
      <c r="I21" s="8">
        <f>I4*J$16</f>
        <v>0.12958937198067633</v>
      </c>
      <c r="J21" s="8">
        <f>J4*J$17</f>
        <v>0.11493558776167472</v>
      </c>
      <c r="M21" s="8">
        <f>M4*O$15</f>
        <v>0.16378066378066378</v>
      </c>
      <c r="N21" s="8">
        <f>N4*O$16</f>
        <v>0.17965367965367965</v>
      </c>
      <c r="O21" s="8">
        <f>O4*O$17</f>
        <v>0.14862914862914864</v>
      </c>
      <c r="R21" s="8">
        <f>R4*T$15</f>
        <v>0.13565793228873774</v>
      </c>
      <c r="S21" s="8">
        <f>S4*T$16</f>
        <v>0.14889863969186529</v>
      </c>
      <c r="T21" s="8">
        <f>T4*T$17</f>
        <v>0.12292308023519925</v>
      </c>
    </row>
    <row r="22" spans="2:20" hidden="1" x14ac:dyDescent="0.2">
      <c r="C22" s="8">
        <f t="shared" ref="C22:C23" si="21">C5*E$15</f>
        <v>0.49047619047619045</v>
      </c>
      <c r="D22" s="8">
        <f t="shared" ref="D22:D23" si="22">D5*E$16</f>
        <v>0.55714285714285705</v>
      </c>
      <c r="E22" s="8">
        <f t="shared" ref="E22:E23" si="23">E5*E$17</f>
        <v>0.64047619047619042</v>
      </c>
      <c r="H22" s="8">
        <f t="shared" ref="H22:H23" si="24">H5*J$15</f>
        <v>0.61090982286634465</v>
      </c>
      <c r="I22" s="8">
        <f t="shared" ref="I22:I23" si="25">I5*J$16</f>
        <v>0.64794685990338163</v>
      </c>
      <c r="J22" s="8">
        <f t="shared" ref="J22:J23" si="26">J5*J$17</f>
        <v>0.68961352657004826</v>
      </c>
      <c r="M22" s="8">
        <f t="shared" ref="M22:M23" si="27">M5*O$15</f>
        <v>0.4913419913419913</v>
      </c>
      <c r="N22" s="8">
        <f t="shared" ref="N22:N23" si="28">N5*O$16</f>
        <v>0.53896103896103897</v>
      </c>
      <c r="O22" s="8">
        <f t="shared" ref="O22:O23" si="29">O5*O$17</f>
        <v>0.59451659451659455</v>
      </c>
      <c r="R22" s="8">
        <f t="shared" ref="R22:R23" si="30">R5*T$15</f>
        <v>0.53108284938505612</v>
      </c>
      <c r="S22" s="8">
        <f t="shared" ref="S22:S23" si="31">S5*T$16</f>
        <v>0.58291846634374522</v>
      </c>
      <c r="T22" s="8">
        <f t="shared" ref="T22:T23" si="32">T5*T$17</f>
        <v>0.64429920935209628</v>
      </c>
    </row>
    <row r="23" spans="2:20" hidden="1" x14ac:dyDescent="0.2">
      <c r="C23" s="8">
        <f t="shared" si="21"/>
        <v>0.36785714285714283</v>
      </c>
      <c r="D23" s="8">
        <f t="shared" si="22"/>
        <v>0.27857142857142853</v>
      </c>
      <c r="E23" s="8">
        <f t="shared" si="23"/>
        <v>0.32023809523809521</v>
      </c>
      <c r="H23" s="8">
        <f t="shared" si="24"/>
        <v>0.24436392914653784</v>
      </c>
      <c r="I23" s="8">
        <f t="shared" si="25"/>
        <v>0.21598228663446054</v>
      </c>
      <c r="J23" s="8">
        <f t="shared" si="26"/>
        <v>0.22987117552334943</v>
      </c>
      <c r="M23" s="8">
        <f t="shared" si="27"/>
        <v>0.32756132756132755</v>
      </c>
      <c r="N23" s="8">
        <f t="shared" si="28"/>
        <v>0.26948051948051949</v>
      </c>
      <c r="O23" s="8">
        <f t="shared" si="29"/>
        <v>0.29725829725829728</v>
      </c>
      <c r="R23" s="8">
        <f t="shared" si="30"/>
        <v>0.31057913441250723</v>
      </c>
      <c r="S23" s="8">
        <f t="shared" si="31"/>
        <v>0.2546130923659698</v>
      </c>
      <c r="T23" s="8">
        <f t="shared" si="32"/>
        <v>0.2814236013675171</v>
      </c>
    </row>
    <row r="24" spans="2:20" hidden="1" x14ac:dyDescent="0.2"/>
    <row r="25" spans="2:20" hidden="1" x14ac:dyDescent="0.2">
      <c r="C25" s="8">
        <f>SUM(C21:E21)</f>
        <v>0.36865079365079356</v>
      </c>
      <c r="D25" s="8">
        <f>SUM(C22:E22)</f>
        <v>1.6880952380952379</v>
      </c>
      <c r="E25" s="8">
        <f>SUM(C23:E23)</f>
        <v>0.96666666666666656</v>
      </c>
      <c r="H25" s="8">
        <f>SUM(H21:J21)</f>
        <v>0.36670692431561996</v>
      </c>
      <c r="I25" s="8">
        <f>SUM(H22:J22)</f>
        <v>1.9484702093397746</v>
      </c>
      <c r="J25" s="8">
        <f>SUM(H23:J23)</f>
        <v>0.69021739130434778</v>
      </c>
      <c r="M25" s="8">
        <f>SUM(M21:O21)</f>
        <v>0.49206349206349209</v>
      </c>
      <c r="N25" s="8">
        <f>SUM(M22:O22)</f>
        <v>1.6248196248196249</v>
      </c>
      <c r="O25" s="8">
        <f>SUM(M23:O23)</f>
        <v>0.89430014430014437</v>
      </c>
      <c r="R25" s="8">
        <f>SUM(R21:T21)</f>
        <v>0.40747965221580229</v>
      </c>
      <c r="S25" s="8">
        <f>SUM(R22:T22)</f>
        <v>1.7583005250808976</v>
      </c>
      <c r="T25" s="8">
        <f>SUM(R23:T23)</f>
        <v>0.84661582814599412</v>
      </c>
    </row>
    <row r="26" spans="2:20" hidden="1" x14ac:dyDescent="0.2"/>
    <row r="27" spans="2:20" hidden="1" x14ac:dyDescent="0.2">
      <c r="C27" s="8">
        <f>E15</f>
        <v>0.12261904761904761</v>
      </c>
      <c r="D27" s="8">
        <f>E16</f>
        <v>0.55714285714285705</v>
      </c>
      <c r="E27" s="8">
        <f>E17</f>
        <v>0.32023809523809521</v>
      </c>
      <c r="H27" s="8">
        <f>J15</f>
        <v>0.12218196457326892</v>
      </c>
      <c r="I27" s="8">
        <f>J16</f>
        <v>0.64794685990338163</v>
      </c>
      <c r="J27" s="8">
        <f>J17</f>
        <v>0.22987117552334943</v>
      </c>
      <c r="M27" s="8">
        <f>O15</f>
        <v>0.16378066378066378</v>
      </c>
      <c r="N27" s="8">
        <f>O16</f>
        <v>0.53896103896103897</v>
      </c>
      <c r="O27" s="8">
        <f>O17</f>
        <v>0.29725829725829728</v>
      </c>
      <c r="R27" s="8">
        <f>T15</f>
        <v>0.13565793228873774</v>
      </c>
      <c r="S27" s="8">
        <f>T16</f>
        <v>0.58291846634374522</v>
      </c>
      <c r="T27" s="8">
        <f>T17</f>
        <v>0.2814236013675171</v>
      </c>
    </row>
    <row r="28" spans="2:20" hidden="1" x14ac:dyDescent="0.2"/>
    <row r="29" spans="2:20" hidden="1" x14ac:dyDescent="0.2">
      <c r="C29" s="8">
        <f>C25/C27</f>
        <v>3.0064724919093844</v>
      </c>
      <c r="D29" s="8">
        <f t="shared" ref="D29:E29" si="33">D25/D27</f>
        <v>3.0299145299145298</v>
      </c>
      <c r="E29" s="8">
        <f t="shared" si="33"/>
        <v>3.0185873605947955</v>
      </c>
      <c r="H29" s="8">
        <f>H25/H27</f>
        <v>3.0013179571663922</v>
      </c>
      <c r="I29" s="8">
        <f t="shared" ref="I29:J29" si="34">I25/I27</f>
        <v>3.0071450761105933</v>
      </c>
      <c r="J29" s="8">
        <f t="shared" si="34"/>
        <v>3.0026269702276704</v>
      </c>
      <c r="M29" s="8">
        <f>M25/M27</f>
        <v>3.0044052863436126</v>
      </c>
      <c r="N29" s="8">
        <f t="shared" ref="N29:O29" si="35">N25/N27</f>
        <v>3.0147255689424366</v>
      </c>
      <c r="O29" s="8">
        <f t="shared" si="35"/>
        <v>3.008495145631068</v>
      </c>
      <c r="R29" s="8">
        <f>R25/R27</f>
        <v>3.0037289035816381</v>
      </c>
      <c r="S29" s="8">
        <f t="shared" ref="S29:T29" si="36">S25/S27</f>
        <v>3.0163747189371648</v>
      </c>
      <c r="T29" s="8">
        <f t="shared" si="36"/>
        <v>3.0083327198999932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3.0183247941395699</v>
      </c>
      <c r="I31" s="8" t="s">
        <v>20</v>
      </c>
      <c r="J31" s="8">
        <f>AVERAGE(H29:J29)</f>
        <v>3.0036966678348853</v>
      </c>
      <c r="N31" s="8" t="s">
        <v>20</v>
      </c>
      <c r="O31" s="8">
        <f>AVERAGE(M29:O29)</f>
        <v>3.0092086669723721</v>
      </c>
      <c r="S31" s="8" t="s">
        <v>20</v>
      </c>
      <c r="T31" s="8">
        <f>AVERAGE(R29:T29)</f>
        <v>3.0094787808062655</v>
      </c>
    </row>
    <row r="32" spans="2:20" hidden="1" x14ac:dyDescent="0.2">
      <c r="D32" s="8" t="s">
        <v>21</v>
      </c>
      <c r="E32" s="8">
        <f>(E31-3)/2</f>
        <v>9.1623970697849444E-3</v>
      </c>
      <c r="I32" s="8" t="s">
        <v>21</v>
      </c>
      <c r="J32" s="8">
        <f>(J31-3)/2</f>
        <v>1.8483339174426572E-3</v>
      </c>
      <c r="N32" s="8" t="s">
        <v>21</v>
      </c>
      <c r="O32" s="8">
        <f>(O31-3)/2</f>
        <v>4.6043334861860519E-3</v>
      </c>
      <c r="S32" s="8" t="s">
        <v>21</v>
      </c>
      <c r="T32" s="8">
        <f>(T31-3)/2</f>
        <v>4.7393904031327594E-3</v>
      </c>
    </row>
    <row r="33" spans="4:20" s="117" customFormat="1" x14ac:dyDescent="0.2">
      <c r="D33" s="47" t="s">
        <v>22</v>
      </c>
      <c r="E33" s="47">
        <f>E32/0.52</f>
        <v>1.7619994364971046E-2</v>
      </c>
      <c r="I33" s="47" t="s">
        <v>22</v>
      </c>
      <c r="J33" s="47">
        <f>J32/0.52</f>
        <v>3.5544883027743405E-3</v>
      </c>
      <c r="N33" s="47" t="s">
        <v>22</v>
      </c>
      <c r="O33" s="47">
        <f>O32/0.52</f>
        <v>8.8544874734347145E-3</v>
      </c>
      <c r="S33" s="47" t="s">
        <v>22</v>
      </c>
      <c r="T33" s="47">
        <f>T32/0.52</f>
        <v>9.1142123137168442E-3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23F2-E998-824B-8DA9-E84F64C78C12}">
  <dimension ref="B2:T33"/>
  <sheetViews>
    <sheetView topLeftCell="D3" zoomScale="75" workbookViewId="0">
      <selection activeCell="M7" sqref="M7"/>
    </sheetView>
  </sheetViews>
  <sheetFormatPr baseColWidth="10" defaultColWidth="8.83203125" defaultRowHeight="15" x14ac:dyDescent="0.2"/>
  <cols>
    <col min="2" max="2" width="23.5" customWidth="1"/>
    <col min="3" max="3" width="26.1640625" customWidth="1"/>
    <col min="4" max="4" width="22.5" customWidth="1"/>
    <col min="5" max="5" width="22.1640625" customWidth="1"/>
    <col min="7" max="8" width="20.83203125" customWidth="1"/>
    <col min="9" max="9" width="22" customWidth="1"/>
    <col min="10" max="10" width="24.5" customWidth="1"/>
    <col min="12" max="12" width="21.33203125" customWidth="1"/>
    <col min="13" max="13" width="21.1640625" customWidth="1"/>
    <col min="14" max="15" width="22.1640625" customWidth="1"/>
  </cols>
  <sheetData>
    <row r="2" spans="2:20" ht="5.5" customHeight="1" x14ac:dyDescent="0.2"/>
    <row r="3" spans="2:20" ht="112.25" customHeight="1" x14ac:dyDescent="0.2">
      <c r="B3" s="8"/>
      <c r="C3" s="13" t="str">
        <f>B4</f>
        <v>Manje od 10 % usporedivih organizacija koristi AI savjetovanje. Sustav omogućuje dostupnost 24/7 bez povećanja broja zaposlenika.</v>
      </c>
      <c r="D3" s="13" t="str">
        <f>B5</f>
        <v>Portal smanjuje administrativne upite klijenata za 30–40 % i skraćuje komunikaciju tijekom certifikacije.</v>
      </c>
      <c r="E3" s="13" t="str">
        <f>B6</f>
        <v>Jedan edukator može voditi radionicu za 20–50 sudionika, čime se povećava doseg usluge bez dodatnih troškova.</v>
      </c>
      <c r="G3" s="8"/>
      <c r="H3" s="13" t="str">
        <f>G4</f>
        <v>Manje od 10 % usporedivih organizacija koristi AI savjetovanje. Sustav omogućuje dostupnost 24/7 bez povećanja broja zaposlenika.</v>
      </c>
      <c r="I3" s="13" t="str">
        <f>G5</f>
        <v>Portal smanjuje administrativne upite klijenata za 30–40 % i skraćuje komunikaciju tijekom certifikacije.</v>
      </c>
      <c r="J3" s="13" t="str">
        <f>G6</f>
        <v>Jedan edukator može voditi radionicu za 20–50 sudionika, čime se povećava doseg usluge bez dodatnih troškova.</v>
      </c>
      <c r="L3" s="8"/>
      <c r="M3" s="13" t="str">
        <f>L4</f>
        <v>Manje od 10 % usporedivih organizacija koristi AI savjetovanje. Sustav omogućuje dostupnost 24/7 bez povećanja broja zaposlenika.</v>
      </c>
      <c r="N3" s="13" t="str">
        <f>L5</f>
        <v>Portal smanjuje administrativne upite klijenata za 30–40 % i skraćuje komunikaciju tijekom certifikacije.</v>
      </c>
      <c r="O3" s="13" t="str">
        <f>L6</f>
        <v>Jedan edukator može voditi radionicu za 20–50 sudionika, čime se povećava doseg usluge bez dodatnih troškova.</v>
      </c>
      <c r="Q3" s="8"/>
      <c r="R3" s="8" t="str">
        <f>Q4</f>
        <v>Manje od 10 % usporedivih organizacija koristi AI savjetovanje. Sustav omogućuje dostupnost 24/7 bez povećanja broja zaposlenika.</v>
      </c>
      <c r="S3" s="8" t="str">
        <f>Q5</f>
        <v>Portal smanjuje administrativne upite klijenata za 30–40 % i skraćuje komunikaciju tijekom certifikacije.</v>
      </c>
      <c r="T3" s="8" t="str">
        <f>Q6</f>
        <v>Jedan edukator može voditi radionicu za 20–50 sudionika, čime se povećava doseg usluge bez dodatnih troškova.</v>
      </c>
    </row>
    <row r="4" spans="2:20" ht="108.5" customHeight="1" x14ac:dyDescent="0.2">
      <c r="B4" s="12" t="s">
        <v>25</v>
      </c>
      <c r="C4" s="8">
        <v>1</v>
      </c>
      <c r="D4" s="8">
        <f>1/2</f>
        <v>0.5</v>
      </c>
      <c r="E4" s="8">
        <f>1/3</f>
        <v>0.33333333333333331</v>
      </c>
      <c r="G4" s="13" t="str">
        <f>B4</f>
        <v>Manje od 10 % usporedivih organizacija koristi AI savjetovanje. Sustav omogućuje dostupnost 24/7 bez povećanja broja zaposlenika.</v>
      </c>
      <c r="H4" s="8">
        <v>1</v>
      </c>
      <c r="I4" s="8">
        <f>1/3</f>
        <v>0.33333333333333331</v>
      </c>
      <c r="J4" s="8">
        <f>1/4</f>
        <v>0.25</v>
      </c>
      <c r="L4" s="13" t="str">
        <f>G4</f>
        <v>Manje od 10 % usporedivih organizacija koristi AI savjetovanje. Sustav omogućuje dostupnost 24/7 bez povećanja broja zaposlenika.</v>
      </c>
      <c r="M4" s="8">
        <v>1</v>
      </c>
      <c r="N4" s="8">
        <f>1/2</f>
        <v>0.5</v>
      </c>
      <c r="O4" s="8">
        <f>1/4</f>
        <v>0.25</v>
      </c>
      <c r="Q4" s="8" t="str">
        <f>L4</f>
        <v>Manje od 10 % usporedivih organizacija koristi AI savjetovanje. Sustav omogućuje dostupnost 24/7 bez povećanja broja zaposlenika.</v>
      </c>
      <c r="R4" s="8">
        <f>GEOMEAN(C4,H4,M4)</f>
        <v>1</v>
      </c>
      <c r="S4" s="8">
        <f t="shared" ref="S4:T6" si="0">GEOMEAN(D4,I4,N4)</f>
        <v>0.43679023236814946</v>
      </c>
      <c r="T4" s="8">
        <f t="shared" si="0"/>
        <v>0.27516060407455223</v>
      </c>
    </row>
    <row r="5" spans="2:20" ht="84" customHeight="1" x14ac:dyDescent="0.2">
      <c r="B5" s="12" t="s">
        <v>34</v>
      </c>
      <c r="C5" s="8">
        <v>2</v>
      </c>
      <c r="D5" s="8">
        <v>1</v>
      </c>
      <c r="E5" s="8">
        <f>1/3</f>
        <v>0.33333333333333331</v>
      </c>
      <c r="G5" s="13" t="str">
        <f t="shared" ref="G5:G6" si="1">B5</f>
        <v>Portal smanjuje administrativne upite klijenata za 30–40 % i skraćuje komunikaciju tijekom certifikacije.</v>
      </c>
      <c r="H5" s="8">
        <v>3</v>
      </c>
      <c r="I5" s="8">
        <v>1</v>
      </c>
      <c r="J5" s="8">
        <f>1/2</f>
        <v>0.5</v>
      </c>
      <c r="L5" s="13" t="str">
        <f t="shared" ref="L5:L6" si="2">G5</f>
        <v>Portal smanjuje administrativne upite klijenata za 30–40 % i skraćuje komunikaciju tijekom certifikacije.</v>
      </c>
      <c r="M5" s="8">
        <v>2</v>
      </c>
      <c r="N5" s="8">
        <v>1</v>
      </c>
      <c r="O5" s="8">
        <f>1/3</f>
        <v>0.33333333333333331</v>
      </c>
      <c r="Q5" s="8" t="str">
        <f t="shared" ref="Q5:Q6" si="3">L5</f>
        <v>Portal smanjuje administrativne upite klijenata za 30–40 % i skraćuje komunikaciju tijekom certifikacije.</v>
      </c>
      <c r="R5" s="8">
        <f t="shared" ref="R5:R6" si="4">GEOMEAN(C5,H5,M5)</f>
        <v>2.2894284851066637</v>
      </c>
      <c r="S5" s="8">
        <f t="shared" si="0"/>
        <v>1</v>
      </c>
      <c r="T5" s="8">
        <f t="shared" si="0"/>
        <v>0.38157141418444396</v>
      </c>
    </row>
    <row r="6" spans="2:20" ht="78" customHeight="1" x14ac:dyDescent="0.2">
      <c r="B6" s="12" t="s">
        <v>43</v>
      </c>
      <c r="C6" s="8">
        <v>3</v>
      </c>
      <c r="D6" s="8">
        <v>3</v>
      </c>
      <c r="E6" s="8">
        <v>1</v>
      </c>
      <c r="G6" s="13" t="str">
        <f t="shared" si="1"/>
        <v>Jedan edukator može voditi radionicu za 20–50 sudionika, čime se povećava doseg usluge bez dodatnih troškova.</v>
      </c>
      <c r="H6" s="8">
        <v>4</v>
      </c>
      <c r="I6" s="8">
        <v>2</v>
      </c>
      <c r="J6" s="8">
        <v>1</v>
      </c>
      <c r="L6" s="13" t="str">
        <f t="shared" si="2"/>
        <v>Jedan edukator može voditi radionicu za 20–50 sudionika, čime se povećava doseg usluge bez dodatnih troškova.</v>
      </c>
      <c r="M6" s="8">
        <v>4</v>
      </c>
      <c r="N6" s="8">
        <v>3</v>
      </c>
      <c r="O6" s="8">
        <v>1</v>
      </c>
      <c r="Q6" s="8" t="str">
        <f t="shared" si="3"/>
        <v>Jedan edukator može voditi radionicu za 20–50 sudionika, čime se povećava doseg usluge bez dodatnih troškova.</v>
      </c>
      <c r="R6" s="8">
        <f t="shared" si="4"/>
        <v>3.6342411856642793</v>
      </c>
      <c r="S6" s="8">
        <f t="shared" si="0"/>
        <v>2.6207413942088964</v>
      </c>
      <c r="T6" s="8">
        <f t="shared" si="0"/>
        <v>1</v>
      </c>
    </row>
    <row r="8" spans="2:20" hidden="1" x14ac:dyDescent="0.2">
      <c r="C8" s="8">
        <f>SUM(C4:C6)</f>
        <v>6</v>
      </c>
      <c r="D8" s="8">
        <f t="shared" ref="D8:E8" si="5">SUM(D4:D6)</f>
        <v>4.5</v>
      </c>
      <c r="E8" s="8">
        <f t="shared" si="5"/>
        <v>1.6666666666666665</v>
      </c>
      <c r="H8" s="8">
        <f>SUM(H4:H6)</f>
        <v>8</v>
      </c>
      <c r="I8" s="8">
        <f t="shared" ref="I8:J8" si="6">SUM(I4:I6)</f>
        <v>3.333333333333333</v>
      </c>
      <c r="J8" s="8">
        <f t="shared" si="6"/>
        <v>1.75</v>
      </c>
      <c r="M8" s="8">
        <f>SUM(M4:M6)</f>
        <v>7</v>
      </c>
      <c r="N8" s="8">
        <f t="shared" ref="N8:O8" si="7">SUM(N4:N6)</f>
        <v>4.5</v>
      </c>
      <c r="O8" s="8">
        <f t="shared" si="7"/>
        <v>1.5833333333333333</v>
      </c>
      <c r="R8" s="8">
        <f>SUM(R4:R6)</f>
        <v>6.9236696707709431</v>
      </c>
      <c r="S8" s="8">
        <f t="shared" ref="S8:T8" si="8">SUM(S4:S6)</f>
        <v>4.0575316265770454</v>
      </c>
      <c r="T8" s="8">
        <f t="shared" si="8"/>
        <v>1.6567320182589962</v>
      </c>
    </row>
    <row r="9" spans="2:20" hidden="1" x14ac:dyDescent="0.2"/>
    <row r="10" spans="2:20" hidden="1" x14ac:dyDescent="0.2"/>
    <row r="11" spans="2:20" hidden="1" x14ac:dyDescent="0.2">
      <c r="C11" s="8">
        <f>C4/C$8</f>
        <v>0.16666666666666666</v>
      </c>
      <c r="D11" s="8">
        <f>D4/D$8</f>
        <v>0.1111111111111111</v>
      </c>
      <c r="E11" s="8">
        <f>E4/E$8</f>
        <v>0.2</v>
      </c>
      <c r="H11" s="8">
        <f>H4/H$8</f>
        <v>0.125</v>
      </c>
      <c r="I11" s="8">
        <f>I4/I$8</f>
        <v>0.1</v>
      </c>
      <c r="J11" s="8">
        <f>J4/J$8</f>
        <v>0.14285714285714285</v>
      </c>
      <c r="M11" s="8">
        <f>M4/M$8</f>
        <v>0.14285714285714285</v>
      </c>
      <c r="N11" s="8">
        <f>N4/N$8</f>
        <v>0.1111111111111111</v>
      </c>
      <c r="O11" s="8">
        <f>O4/O$8</f>
        <v>0.15789473684210528</v>
      </c>
      <c r="R11" s="8">
        <f>R4/R$8</f>
        <v>0.14443207829824889</v>
      </c>
      <c r="S11" s="8">
        <f>S4/S$8</f>
        <v>0.10764924899343987</v>
      </c>
      <c r="T11" s="8">
        <f>T4/T$8</f>
        <v>0.16608636824904804</v>
      </c>
    </row>
    <row r="12" spans="2:20" hidden="1" x14ac:dyDescent="0.2">
      <c r="C12" s="8">
        <f t="shared" ref="C12:E13" si="9">C5/C$8</f>
        <v>0.33333333333333331</v>
      </c>
      <c r="D12" s="8">
        <f t="shared" si="9"/>
        <v>0.22222222222222221</v>
      </c>
      <c r="E12" s="8">
        <f t="shared" si="9"/>
        <v>0.2</v>
      </c>
      <c r="H12" s="8">
        <f t="shared" ref="H12:J13" si="10">H5/H$8</f>
        <v>0.375</v>
      </c>
      <c r="I12" s="8">
        <f t="shared" si="10"/>
        <v>0.30000000000000004</v>
      </c>
      <c r="J12" s="8">
        <f t="shared" si="10"/>
        <v>0.2857142857142857</v>
      </c>
      <c r="M12" s="8">
        <f t="shared" ref="M12:O13" si="11">M5/M$8</f>
        <v>0.2857142857142857</v>
      </c>
      <c r="N12" s="8">
        <f t="shared" si="11"/>
        <v>0.22222222222222221</v>
      </c>
      <c r="O12" s="8">
        <f t="shared" si="11"/>
        <v>0.21052631578947367</v>
      </c>
      <c r="R12" s="8">
        <f t="shared" ref="R12:T13" si="12">R5/R$8</f>
        <v>0.330666914219167</v>
      </c>
      <c r="S12" s="8">
        <f t="shared" si="12"/>
        <v>0.24645525704592108</v>
      </c>
      <c r="T12" s="8">
        <f t="shared" si="12"/>
        <v>0.23031571188285749</v>
      </c>
    </row>
    <row r="13" spans="2:20" hidden="1" x14ac:dyDescent="0.2">
      <c r="C13" s="8">
        <f t="shared" si="9"/>
        <v>0.5</v>
      </c>
      <c r="D13" s="8">
        <f t="shared" si="9"/>
        <v>0.66666666666666663</v>
      </c>
      <c r="E13" s="8">
        <f t="shared" si="9"/>
        <v>0.60000000000000009</v>
      </c>
      <c r="H13" s="8">
        <f t="shared" si="10"/>
        <v>0.5</v>
      </c>
      <c r="I13" s="8">
        <f t="shared" si="10"/>
        <v>0.60000000000000009</v>
      </c>
      <c r="J13" s="8">
        <f t="shared" si="10"/>
        <v>0.5714285714285714</v>
      </c>
      <c r="M13" s="8">
        <f t="shared" si="11"/>
        <v>0.5714285714285714</v>
      </c>
      <c r="N13" s="8">
        <f t="shared" si="11"/>
        <v>0.66666666666666663</v>
      </c>
      <c r="O13" s="8">
        <f t="shared" si="11"/>
        <v>0.63157894736842113</v>
      </c>
      <c r="R13" s="8">
        <f t="shared" si="12"/>
        <v>0.52490100748258406</v>
      </c>
      <c r="S13" s="8">
        <f t="shared" si="12"/>
        <v>0.64589549396063917</v>
      </c>
      <c r="T13" s="8">
        <f t="shared" si="12"/>
        <v>0.60359791986809441</v>
      </c>
    </row>
    <row r="14" spans="2:20" hidden="1" x14ac:dyDescent="0.2"/>
    <row r="15" spans="2:20" x14ac:dyDescent="0.2">
      <c r="D15" s="8" t="str">
        <f>B4</f>
        <v>Manje od 10 % usporedivih organizacija koristi AI savjetovanje. Sustav omogućuje dostupnost 24/7 bez povećanja broja zaposlenika.</v>
      </c>
      <c r="E15" s="8">
        <f>AVERAGE(C11:E11)</f>
        <v>0.15925925925925927</v>
      </c>
      <c r="I15" s="8" t="str">
        <f>G4</f>
        <v>Manje od 10 % usporedivih organizacija koristi AI savjetovanje. Sustav omogućuje dostupnost 24/7 bez povećanja broja zaposlenika.</v>
      </c>
      <c r="J15" s="8">
        <f>AVERAGE(H11:J11)</f>
        <v>0.12261904761904763</v>
      </c>
      <c r="N15" s="8" t="str">
        <f>L4</f>
        <v>Manje od 10 % usporedivih organizacija koristi AI savjetovanje. Sustav omogućuje dostupnost 24/7 bez povećanja broja zaposlenika.</v>
      </c>
      <c r="O15" s="8">
        <f>AVERAGE(M11:O11)</f>
        <v>0.1372876636034531</v>
      </c>
      <c r="S15" s="8" t="str">
        <f>Q4</f>
        <v>Manje od 10 % usporedivih organizacija koristi AI savjetovanje. Sustav omogućuje dostupnost 24/7 bez povećanja broja zaposlenika.</v>
      </c>
      <c r="T15" s="11">
        <f>AVERAGE(R11:T11)</f>
        <v>0.13938923184691226</v>
      </c>
    </row>
    <row r="16" spans="2:20" x14ac:dyDescent="0.2">
      <c r="D16" s="8" t="str">
        <f t="shared" ref="D16:D17" si="13">B5</f>
        <v>Portal smanjuje administrativne upite klijenata za 30–40 % i skraćuje komunikaciju tijekom certifikacije.</v>
      </c>
      <c r="E16" s="8">
        <f t="shared" ref="E16:E17" si="14">AVERAGE(C12:E12)</f>
        <v>0.25185185185185183</v>
      </c>
      <c r="I16" s="8" t="str">
        <f t="shared" ref="I16:I17" si="15">G5</f>
        <v>Portal smanjuje administrativne upite klijenata za 30–40 % i skraćuje komunikaciju tijekom certifikacije.</v>
      </c>
      <c r="J16" s="8">
        <f t="shared" ref="J16:J17" si="16">AVERAGE(H12:J12)</f>
        <v>0.32023809523809527</v>
      </c>
      <c r="N16" s="8" t="str">
        <f t="shared" ref="N16:N17" si="17">L5</f>
        <v>Portal smanjuje administrativne upite klijenata za 30–40 % i skraćuje komunikaciju tijekom certifikacije.</v>
      </c>
      <c r="O16" s="8">
        <f t="shared" ref="O16:O17" si="18">AVERAGE(M12:O12)</f>
        <v>0.23948760790866053</v>
      </c>
      <c r="S16" s="8" t="str">
        <f t="shared" ref="S16:S17" si="19">Q5</f>
        <v>Portal smanjuje administrativne upite klijenata za 30–40 % i skraćuje komunikaciju tijekom certifikacije.</v>
      </c>
      <c r="T16" s="11">
        <f t="shared" ref="T16:T17" si="20">AVERAGE(R12:T12)</f>
        <v>0.26914596104931515</v>
      </c>
    </row>
    <row r="17" spans="2:20" x14ac:dyDescent="0.2">
      <c r="D17" s="8" t="str">
        <f t="shared" si="13"/>
        <v>Jedan edukator može voditi radionicu za 20–50 sudionika, čime se povećava doseg usluge bez dodatnih troškova.</v>
      </c>
      <c r="E17" s="8">
        <f t="shared" si="14"/>
        <v>0.58888888888888891</v>
      </c>
      <c r="I17" s="8" t="str">
        <f t="shared" si="15"/>
        <v>Jedan edukator može voditi radionicu za 20–50 sudionika, čime se povećava doseg usluge bez dodatnih troškova.</v>
      </c>
      <c r="J17" s="8">
        <f t="shared" si="16"/>
        <v>0.55714285714285716</v>
      </c>
      <c r="N17" s="8" t="str">
        <f t="shared" si="17"/>
        <v>Jedan edukator može voditi radionicu za 20–50 sudionika, čime se povećava doseg usluge bez dodatnih troškova.</v>
      </c>
      <c r="O17" s="8">
        <f t="shared" si="18"/>
        <v>0.62322472848788646</v>
      </c>
      <c r="S17" s="8" t="str">
        <f t="shared" si="19"/>
        <v>Jedan edukator može voditi radionicu za 20–50 sudionika, čime se povećava doseg usluge bez dodatnih troškova.</v>
      </c>
      <c r="T17" s="11">
        <f t="shared" si="20"/>
        <v>0.59146480710377247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0.15925925925925927</v>
      </c>
      <c r="D21" s="8">
        <f>D4*E$16</f>
        <v>0.12592592592592591</v>
      </c>
      <c r="E21" s="8">
        <f>E4*E$17</f>
        <v>0.1962962962962963</v>
      </c>
      <c r="H21" s="8">
        <f>H4*J$15</f>
        <v>0.12261904761904763</v>
      </c>
      <c r="I21" s="8">
        <f>I4*J$16</f>
        <v>0.10674603174603176</v>
      </c>
      <c r="J21" s="8">
        <f>J4*J$17</f>
        <v>0.13928571428571429</v>
      </c>
      <c r="M21" s="8">
        <f>M4*O$15</f>
        <v>0.1372876636034531</v>
      </c>
      <c r="N21" s="8">
        <f>N4*O$16</f>
        <v>0.11974380395433026</v>
      </c>
      <c r="O21" s="8">
        <f>O4*O$17</f>
        <v>0.15580618212197161</v>
      </c>
      <c r="R21" s="8">
        <f>R4*T$15</f>
        <v>0.13938923184691226</v>
      </c>
      <c r="S21" s="8">
        <f>S4*T$16</f>
        <v>0.11756032686767927</v>
      </c>
      <c r="T21" s="8">
        <f>T4*T$17</f>
        <v>0.16274781361151255</v>
      </c>
    </row>
    <row r="22" spans="2:20" hidden="1" x14ac:dyDescent="0.2">
      <c r="C22" s="8">
        <f t="shared" ref="C22:C23" si="21">C5*E$15</f>
        <v>0.31851851851851853</v>
      </c>
      <c r="D22" s="8">
        <f t="shared" ref="D22:D23" si="22">D5*E$16</f>
        <v>0.25185185185185183</v>
      </c>
      <c r="E22" s="8">
        <f t="shared" ref="E22:E23" si="23">E5*E$17</f>
        <v>0.1962962962962963</v>
      </c>
      <c r="H22" s="8">
        <f t="shared" ref="H22:H23" si="24">H5*J$15</f>
        <v>0.36785714285714288</v>
      </c>
      <c r="I22" s="8">
        <f t="shared" ref="I22:I23" si="25">I5*J$16</f>
        <v>0.32023809523809527</v>
      </c>
      <c r="J22" s="8">
        <f t="shared" ref="J22:J23" si="26">J5*J$17</f>
        <v>0.27857142857142858</v>
      </c>
      <c r="M22" s="8">
        <f t="shared" ref="M22:M23" si="27">M5*O$15</f>
        <v>0.27457532720690619</v>
      </c>
      <c r="N22" s="8">
        <f t="shared" ref="N22:N23" si="28">N5*O$16</f>
        <v>0.23948760790866053</v>
      </c>
      <c r="O22" s="8">
        <f t="shared" ref="O22:O23" si="29">O5*O$17</f>
        <v>0.20774157616262881</v>
      </c>
      <c r="R22" s="8">
        <f t="shared" ref="R22:R23" si="30">R5*T$15</f>
        <v>0.31912167790745788</v>
      </c>
      <c r="S22" s="8">
        <f t="shared" ref="S22:S23" si="31">S5*T$16</f>
        <v>0.26914596104931515</v>
      </c>
      <c r="T22" s="8">
        <f t="shared" ref="T22:T23" si="32">T5*T$17</f>
        <v>0.22568606288691581</v>
      </c>
    </row>
    <row r="23" spans="2:20" hidden="1" x14ac:dyDescent="0.2">
      <c r="C23" s="8">
        <f t="shared" si="21"/>
        <v>0.4777777777777778</v>
      </c>
      <c r="D23" s="8">
        <f t="shared" si="22"/>
        <v>0.75555555555555554</v>
      </c>
      <c r="E23" s="8">
        <f t="shared" si="23"/>
        <v>0.58888888888888891</v>
      </c>
      <c r="H23" s="8">
        <f t="shared" si="24"/>
        <v>0.49047619047619051</v>
      </c>
      <c r="I23" s="8">
        <f t="shared" si="25"/>
        <v>0.64047619047619053</v>
      </c>
      <c r="J23" s="8">
        <f t="shared" si="26"/>
        <v>0.55714285714285716</v>
      </c>
      <c r="M23" s="8">
        <f t="shared" si="27"/>
        <v>0.54915065441381239</v>
      </c>
      <c r="N23" s="8">
        <f t="shared" si="28"/>
        <v>0.71846282372598158</v>
      </c>
      <c r="O23" s="8">
        <f t="shared" si="29"/>
        <v>0.62322472848788646</v>
      </c>
      <c r="R23" s="8">
        <f t="shared" si="30"/>
        <v>0.5065740872161556</v>
      </c>
      <c r="S23" s="8">
        <f t="shared" si="31"/>
        <v>0.70536196120607553</v>
      </c>
      <c r="T23" s="8">
        <f t="shared" si="32"/>
        <v>0.59146480710377247</v>
      </c>
    </row>
    <row r="24" spans="2:20" hidden="1" x14ac:dyDescent="0.2"/>
    <row r="25" spans="2:20" hidden="1" x14ac:dyDescent="0.2">
      <c r="C25" s="8">
        <f>SUM(C21:E21)</f>
        <v>0.48148148148148151</v>
      </c>
      <c r="D25" s="8">
        <f>SUM(C22:E22)</f>
        <v>0.76666666666666672</v>
      </c>
      <c r="E25" s="8">
        <f>SUM(C23:E23)</f>
        <v>1.8222222222222224</v>
      </c>
      <c r="H25" s="8">
        <f>SUM(H21:J21)</f>
        <v>0.36865079365079367</v>
      </c>
      <c r="I25" s="8">
        <f>SUM(H22:J22)</f>
        <v>0.96666666666666667</v>
      </c>
      <c r="J25" s="8">
        <f>SUM(H23:J23)</f>
        <v>1.6880952380952381</v>
      </c>
      <c r="M25" s="8">
        <f>SUM(M21:O21)</f>
        <v>0.412837649679755</v>
      </c>
      <c r="N25" s="8">
        <f>SUM(M22:O22)</f>
        <v>0.72180451127819556</v>
      </c>
      <c r="O25" s="8">
        <f>SUM(M23:O23)</f>
        <v>1.8908382066276803</v>
      </c>
      <c r="R25" s="8">
        <f>SUM(R21:T21)</f>
        <v>0.41969737232610405</v>
      </c>
      <c r="S25" s="8">
        <f>SUM(R22:T22)</f>
        <v>0.81395370184368887</v>
      </c>
      <c r="T25" s="8">
        <f>SUM(R23:T23)</f>
        <v>1.8034008555260037</v>
      </c>
    </row>
    <row r="26" spans="2:20" hidden="1" x14ac:dyDescent="0.2"/>
    <row r="27" spans="2:20" hidden="1" x14ac:dyDescent="0.2">
      <c r="C27" s="8">
        <f>E15</f>
        <v>0.15925925925925927</v>
      </c>
      <c r="D27" s="8">
        <f>E16</f>
        <v>0.25185185185185183</v>
      </c>
      <c r="E27" s="8">
        <f>E17</f>
        <v>0.58888888888888891</v>
      </c>
      <c r="H27" s="8">
        <f>J15</f>
        <v>0.12261904761904763</v>
      </c>
      <c r="I27" s="8">
        <f>J16</f>
        <v>0.32023809523809527</v>
      </c>
      <c r="J27" s="8">
        <f>J17</f>
        <v>0.55714285714285716</v>
      </c>
      <c r="M27" s="8">
        <f>O15</f>
        <v>0.1372876636034531</v>
      </c>
      <c r="N27" s="8">
        <f>O16</f>
        <v>0.23948760790866053</v>
      </c>
      <c r="O27" s="8">
        <f>O17</f>
        <v>0.62322472848788646</v>
      </c>
      <c r="R27" s="8">
        <f>T15</f>
        <v>0.13938923184691226</v>
      </c>
      <c r="S27" s="8">
        <f>T16</f>
        <v>0.26914596104931515</v>
      </c>
      <c r="T27" s="8">
        <f>T17</f>
        <v>0.59146480710377247</v>
      </c>
    </row>
    <row r="28" spans="2:20" hidden="1" x14ac:dyDescent="0.2"/>
    <row r="29" spans="2:20" hidden="1" x14ac:dyDescent="0.2">
      <c r="C29" s="8">
        <f>C25/C27</f>
        <v>3.0232558139534884</v>
      </c>
      <c r="D29" s="8">
        <f t="shared" ref="D29:E29" si="33">D25/D27</f>
        <v>3.0441176470588238</v>
      </c>
      <c r="E29" s="8">
        <f t="shared" si="33"/>
        <v>3.0943396226415096</v>
      </c>
      <c r="H29" s="8">
        <f>H25/H27</f>
        <v>3.0064724919093853</v>
      </c>
      <c r="I29" s="8">
        <f t="shared" ref="I29:J29" si="34">I25/I27</f>
        <v>3.0185873605947955</v>
      </c>
      <c r="J29" s="8">
        <f t="shared" si="34"/>
        <v>3.0299145299145298</v>
      </c>
      <c r="M29" s="8">
        <f>M25/M27</f>
        <v>3.0070993914807302</v>
      </c>
      <c r="N29" s="8">
        <f t="shared" ref="N29:O29" si="35">N25/N27</f>
        <v>3.0139534883720933</v>
      </c>
      <c r="O29" s="8">
        <f t="shared" si="35"/>
        <v>3.0339588918677385</v>
      </c>
      <c r="R29" s="8">
        <f>R25/R27</f>
        <v>3.0109741388563447</v>
      </c>
      <c r="S29" s="8">
        <f t="shared" ref="S29:T29" si="36">S25/S27</f>
        <v>3.0242092382525092</v>
      </c>
      <c r="T29" s="8">
        <f t="shared" si="36"/>
        <v>3.0490416908433184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3.0539043612179406</v>
      </c>
      <c r="I31" s="8" t="s">
        <v>20</v>
      </c>
      <c r="J31" s="8">
        <f>AVERAGE(H29:J29)</f>
        <v>3.0183247941395699</v>
      </c>
      <c r="N31" s="8" t="s">
        <v>20</v>
      </c>
      <c r="O31" s="8">
        <f>AVERAGE(M29:O29)</f>
        <v>3.0183372572401872</v>
      </c>
      <c r="S31" s="8" t="s">
        <v>20</v>
      </c>
      <c r="T31" s="8">
        <f>AVERAGE(R29:T29)</f>
        <v>3.0280750226507238</v>
      </c>
    </row>
    <row r="32" spans="2:20" hidden="1" x14ac:dyDescent="0.2">
      <c r="D32" s="8" t="s">
        <v>21</v>
      </c>
      <c r="E32" s="8">
        <f>(E31-3)/2</f>
        <v>2.6952180608970311E-2</v>
      </c>
      <c r="I32" s="8" t="s">
        <v>21</v>
      </c>
      <c r="J32" s="8">
        <f>(J31-3)/2</f>
        <v>9.1623970697849444E-3</v>
      </c>
      <c r="N32" s="8" t="s">
        <v>21</v>
      </c>
      <c r="O32" s="8">
        <f>(O31-3)/2</f>
        <v>9.1686286200935996E-3</v>
      </c>
      <c r="S32" s="8" t="s">
        <v>21</v>
      </c>
      <c r="T32" s="8">
        <f>(T31-3)/2</f>
        <v>1.4037511325361907E-2</v>
      </c>
    </row>
    <row r="33" spans="4:20" s="117" customFormat="1" x14ac:dyDescent="0.2">
      <c r="D33" s="47" t="s">
        <v>22</v>
      </c>
      <c r="E33" s="47">
        <f>E32/0.52</f>
        <v>5.1831116555712133E-2</v>
      </c>
      <c r="I33" s="47" t="s">
        <v>22</v>
      </c>
      <c r="J33" s="47">
        <f>J32/0.52</f>
        <v>1.7619994364971046E-2</v>
      </c>
      <c r="N33" s="47" t="s">
        <v>22</v>
      </c>
      <c r="O33" s="47">
        <f>O32/0.52</f>
        <v>1.7631978115564613E-2</v>
      </c>
      <c r="S33" s="47" t="s">
        <v>22</v>
      </c>
      <c r="T33" s="47">
        <f>T32/0.52</f>
        <v>2.6995214087234435E-2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780C-1B1E-444F-BF67-B38331747BE4}">
  <dimension ref="B2:T33"/>
  <sheetViews>
    <sheetView topLeftCell="H1" zoomScale="75" workbookViewId="0">
      <selection activeCell="T33" sqref="T33"/>
    </sheetView>
  </sheetViews>
  <sheetFormatPr baseColWidth="10" defaultColWidth="8.83203125" defaultRowHeight="15" x14ac:dyDescent="0.2"/>
  <cols>
    <col min="2" max="2" width="23.5" customWidth="1"/>
    <col min="3" max="3" width="26.1640625" customWidth="1"/>
    <col min="4" max="4" width="22.5" customWidth="1"/>
    <col min="5" max="5" width="22.1640625" customWidth="1"/>
    <col min="7" max="8" width="20.83203125" customWidth="1"/>
    <col min="9" max="9" width="22" customWidth="1"/>
    <col min="10" max="10" width="24.5" customWidth="1"/>
    <col min="12" max="12" width="21.33203125" customWidth="1"/>
    <col min="13" max="13" width="21.1640625" customWidth="1"/>
    <col min="14" max="15" width="22.1640625" customWidth="1"/>
    <col min="17" max="17" width="19.83203125" customWidth="1"/>
    <col min="18" max="18" width="17.5" customWidth="1"/>
    <col min="19" max="19" width="22.1640625" customWidth="1"/>
    <col min="20" max="20" width="17.83203125" customWidth="1"/>
  </cols>
  <sheetData>
    <row r="2" spans="2:20" ht="5.5" customHeight="1" x14ac:dyDescent="0.2"/>
    <row r="3" spans="2:20" ht="112.25" customHeight="1" x14ac:dyDescent="0.2">
      <c r="B3" s="8"/>
      <c r="C3" s="13" t="s">
        <v>26</v>
      </c>
      <c r="D3" s="13" t="s">
        <v>35</v>
      </c>
      <c r="E3" s="13" t="s">
        <v>44</v>
      </c>
      <c r="G3" s="8"/>
      <c r="H3" s="13" t="str">
        <f>G4</f>
        <v>Usluga uvodi AI tehnologiju u savjetovanje i povećava digitalnu prepoznatljivost organizacije kod 30–40 % novih korisnika.</v>
      </c>
      <c r="I3" s="13" t="str">
        <f>G5</f>
        <v>Digitalni portal povećava percepciju profesionalnosti i transparentnosti procesa kod većine poslovnih klijenata.</v>
      </c>
      <c r="J3" s="13" t="str">
        <f>G6</f>
        <v>Online radionice povećavaju vidljivost organizacije u B2C segmentu i omogućuju kontinuiranu digitalnu prisutnost.</v>
      </c>
      <c r="L3" s="8"/>
      <c r="M3" s="13" t="str">
        <f>L4</f>
        <v>Usluga uvodi AI tehnologiju u savjetovanje i povećava digitalnu prepoznatljivost organizacije kod 30–40 % novih korisnika.</v>
      </c>
      <c r="N3" s="13" t="str">
        <f>L5</f>
        <v>Digitalni portal povećava percepciju profesionalnosti i transparentnosti procesa kod većine poslovnih klijenata.</v>
      </c>
      <c r="O3" s="13" t="str">
        <f>L6</f>
        <v>Online radionice povećavaju vidljivost organizacije u B2C segmentu i omogućuju kontinuiranu digitalnu prisutnost.</v>
      </c>
      <c r="Q3" s="8"/>
      <c r="R3" s="13" t="str">
        <f>Q4</f>
        <v>Usluga uvodi AI tehnologiju u savjetovanje i povećava digitalnu prepoznatljivost organizacije kod 30–40 % novih korisnika.</v>
      </c>
      <c r="S3" s="13" t="str">
        <f>Q5</f>
        <v>Digitalni portal povećava percepciju profesionalnosti i transparentnosti procesa kod većine poslovnih klijenata.</v>
      </c>
      <c r="T3" s="13" t="str">
        <f>Q6</f>
        <v>Online radionice povećavaju vidljivost organizacije u B2C segmentu i omogućuju kontinuiranu digitalnu prisutnost.</v>
      </c>
    </row>
    <row r="4" spans="2:20" ht="108.5" customHeight="1" x14ac:dyDescent="0.2">
      <c r="B4" s="12" t="s">
        <v>26</v>
      </c>
      <c r="C4" s="8">
        <v>1</v>
      </c>
      <c r="D4" s="8">
        <v>3</v>
      </c>
      <c r="E4" s="8">
        <v>2</v>
      </c>
      <c r="G4" s="13" t="str">
        <f>B4</f>
        <v>Usluga uvodi AI tehnologiju u savjetovanje i povećava digitalnu prepoznatljivost organizacije kod 30–40 % novih korisnika.</v>
      </c>
      <c r="H4" s="8">
        <v>1</v>
      </c>
      <c r="I4" s="8">
        <v>4</v>
      </c>
      <c r="J4" s="8">
        <v>3</v>
      </c>
      <c r="L4" s="13" t="str">
        <f>G4</f>
        <v>Usluga uvodi AI tehnologiju u savjetovanje i povećava digitalnu prepoznatljivost organizacije kod 30–40 % novih korisnika.</v>
      </c>
      <c r="M4" s="8">
        <v>1</v>
      </c>
      <c r="N4" s="8">
        <v>5</v>
      </c>
      <c r="O4" s="8">
        <v>2</v>
      </c>
      <c r="Q4" s="13" t="str">
        <f>L4</f>
        <v>Usluga uvodi AI tehnologiju u savjetovanje i povećava digitalnu prepoznatljivost organizacije kod 30–40 % novih korisnika.</v>
      </c>
      <c r="R4" s="8">
        <f>GEOMEAN(C4,H4,M4)</f>
        <v>1</v>
      </c>
      <c r="S4" s="8">
        <f t="shared" ref="S4:T6" si="0">GEOMEAN(D4,I4,N4)</f>
        <v>3.9148676411688634</v>
      </c>
      <c r="T4" s="8">
        <f t="shared" si="0"/>
        <v>2.2894284851066637</v>
      </c>
    </row>
    <row r="5" spans="2:20" ht="84" customHeight="1" x14ac:dyDescent="0.2">
      <c r="B5" s="12" t="s">
        <v>35</v>
      </c>
      <c r="C5" s="8">
        <f>1/3</f>
        <v>0.33333333333333331</v>
      </c>
      <c r="D5" s="8">
        <v>1</v>
      </c>
      <c r="E5" s="8">
        <f>1/3</f>
        <v>0.33333333333333331</v>
      </c>
      <c r="G5" s="13" t="str">
        <f t="shared" ref="G5:G6" si="1">B5</f>
        <v>Digitalni portal povećava percepciju profesionalnosti i transparentnosti procesa kod većine poslovnih klijenata.</v>
      </c>
      <c r="H5" s="8">
        <f>1/4</f>
        <v>0.25</v>
      </c>
      <c r="I5" s="8">
        <v>1</v>
      </c>
      <c r="J5" s="8">
        <f>1/3</f>
        <v>0.33333333333333331</v>
      </c>
      <c r="L5" s="13" t="str">
        <f t="shared" ref="L5:L6" si="2">G5</f>
        <v>Digitalni portal povećava percepciju profesionalnosti i transparentnosti procesa kod većine poslovnih klijenata.</v>
      </c>
      <c r="M5" s="8">
        <f>1/5</f>
        <v>0.2</v>
      </c>
      <c r="N5" s="8">
        <v>1</v>
      </c>
      <c r="O5" s="8">
        <f>1/4</f>
        <v>0.25</v>
      </c>
      <c r="Q5" s="13" t="str">
        <f t="shared" ref="Q5:Q6" si="3">L5</f>
        <v>Digitalni portal povećava percepciju profesionalnosti i transparentnosti procesa kod većine poslovnih klijenata.</v>
      </c>
      <c r="R5" s="8">
        <f t="shared" ref="R5:R6" si="4">GEOMEAN(C5,H5,M5)</f>
        <v>0.2554364774645177</v>
      </c>
      <c r="S5" s="8">
        <f t="shared" si="0"/>
        <v>1</v>
      </c>
      <c r="T5" s="8">
        <f t="shared" si="0"/>
        <v>0.30285343213868993</v>
      </c>
    </row>
    <row r="6" spans="2:20" ht="99.5" customHeight="1" x14ac:dyDescent="0.2">
      <c r="B6" s="12" t="s">
        <v>44</v>
      </c>
      <c r="C6" s="8">
        <f>1/2</f>
        <v>0.5</v>
      </c>
      <c r="D6" s="8">
        <v>3</v>
      </c>
      <c r="E6" s="8">
        <v>1</v>
      </c>
      <c r="G6" s="13" t="str">
        <f t="shared" si="1"/>
        <v>Online radionice povećavaju vidljivost organizacije u B2C segmentu i omogućuju kontinuiranu digitalnu prisutnost.</v>
      </c>
      <c r="H6" s="8">
        <f>1/3</f>
        <v>0.33333333333333331</v>
      </c>
      <c r="I6" s="8">
        <v>3</v>
      </c>
      <c r="J6" s="8">
        <v>1</v>
      </c>
      <c r="L6" s="13" t="str">
        <f t="shared" si="2"/>
        <v>Online radionice povećavaju vidljivost organizacije u B2C segmentu i omogućuju kontinuiranu digitalnu prisutnost.</v>
      </c>
      <c r="M6" s="8">
        <f>1/2</f>
        <v>0.5</v>
      </c>
      <c r="N6" s="8">
        <v>4</v>
      </c>
      <c r="O6" s="8">
        <v>1</v>
      </c>
      <c r="Q6" s="13" t="str">
        <f t="shared" si="3"/>
        <v>Online radionice povećavaju vidljivost organizacije u B2C segmentu i omogućuju kontinuiranu digitalnu prisutnost.</v>
      </c>
      <c r="R6" s="8">
        <f t="shared" si="4"/>
        <v>0.43679023236814946</v>
      </c>
      <c r="S6" s="8">
        <f t="shared" si="0"/>
        <v>3.3019272488946267</v>
      </c>
      <c r="T6" s="8">
        <f t="shared" si="0"/>
        <v>1</v>
      </c>
    </row>
    <row r="8" spans="2:20" hidden="1" x14ac:dyDescent="0.2">
      <c r="C8" s="8">
        <f>SUM(C4:C6)</f>
        <v>1.8333333333333333</v>
      </c>
      <c r="D8" s="8">
        <f t="shared" ref="D8:E8" si="5">SUM(D4:D6)</f>
        <v>7</v>
      </c>
      <c r="E8" s="8">
        <f t="shared" si="5"/>
        <v>3.3333333333333335</v>
      </c>
      <c r="H8" s="8">
        <f>SUM(H4:H6)</f>
        <v>1.5833333333333333</v>
      </c>
      <c r="I8" s="8">
        <f t="shared" ref="I8:J8" si="6">SUM(I4:I6)</f>
        <v>8</v>
      </c>
      <c r="J8" s="8">
        <f t="shared" si="6"/>
        <v>4.3333333333333339</v>
      </c>
      <c r="M8" s="8">
        <f>SUM(M4:M6)</f>
        <v>1.7</v>
      </c>
      <c r="N8" s="8">
        <f t="shared" ref="N8:O8" si="7">SUM(N4:N6)</f>
        <v>10</v>
      </c>
      <c r="O8" s="8">
        <f t="shared" si="7"/>
        <v>3.25</v>
      </c>
      <c r="R8" s="8">
        <f>SUM(R4:R6)</f>
        <v>1.6922267098326671</v>
      </c>
      <c r="S8" s="8">
        <f t="shared" ref="S8:T8" si="8">SUM(S4:S6)</f>
        <v>8.2167948900634897</v>
      </c>
      <c r="T8" s="8">
        <f t="shared" si="8"/>
        <v>3.5922819172453537</v>
      </c>
    </row>
    <row r="9" spans="2:20" hidden="1" x14ac:dyDescent="0.2"/>
    <row r="10" spans="2:20" hidden="1" x14ac:dyDescent="0.2"/>
    <row r="11" spans="2:20" hidden="1" x14ac:dyDescent="0.2">
      <c r="C11" s="8">
        <f>C4/C$8</f>
        <v>0.54545454545454553</v>
      </c>
      <c r="D11" s="8">
        <f>D4/D$8</f>
        <v>0.42857142857142855</v>
      </c>
      <c r="E11" s="8">
        <f>E4/E$8</f>
        <v>0.6</v>
      </c>
      <c r="H11" s="8">
        <f>H4/H$8</f>
        <v>0.63157894736842113</v>
      </c>
      <c r="I11" s="8">
        <f>I4/I$8</f>
        <v>0.5</v>
      </c>
      <c r="J11" s="8">
        <f>J4/J$8</f>
        <v>0.69230769230769218</v>
      </c>
      <c r="M11" s="8">
        <f>M4/M$8</f>
        <v>0.58823529411764708</v>
      </c>
      <c r="N11" s="8">
        <f>N4/N$8</f>
        <v>0.5</v>
      </c>
      <c r="O11" s="8">
        <f>O4/O$8</f>
        <v>0.61538461538461542</v>
      </c>
      <c r="R11" s="8">
        <f>R4/R$8</f>
        <v>0.59093736920089346</v>
      </c>
      <c r="S11" s="8">
        <f>S4/S$8</f>
        <v>0.47644704456516063</v>
      </c>
      <c r="T11" s="8">
        <f>T4/T$8</f>
        <v>0.63731871212999103</v>
      </c>
    </row>
    <row r="12" spans="2:20" hidden="1" x14ac:dyDescent="0.2">
      <c r="C12" s="8">
        <f t="shared" ref="C12:E13" si="9">C5/C$8</f>
        <v>0.18181818181818182</v>
      </c>
      <c r="D12" s="8">
        <f t="shared" si="9"/>
        <v>0.14285714285714285</v>
      </c>
      <c r="E12" s="8">
        <f t="shared" si="9"/>
        <v>9.9999999999999992E-2</v>
      </c>
      <c r="H12" s="8">
        <f t="shared" ref="H12:J13" si="10">H5/H$8</f>
        <v>0.15789473684210528</v>
      </c>
      <c r="I12" s="8">
        <f t="shared" si="10"/>
        <v>0.125</v>
      </c>
      <c r="J12" s="8">
        <f t="shared" si="10"/>
        <v>7.6923076923076913E-2</v>
      </c>
      <c r="M12" s="8">
        <f t="shared" ref="M12:O13" si="11">M5/M$8</f>
        <v>0.11764705882352942</v>
      </c>
      <c r="N12" s="8">
        <f t="shared" si="11"/>
        <v>0.1</v>
      </c>
      <c r="O12" s="8">
        <f t="shared" si="11"/>
        <v>7.6923076923076927E-2</v>
      </c>
      <c r="R12" s="8">
        <f t="shared" ref="R12:T13" si="12">R5/R$8</f>
        <v>0.15094695999082539</v>
      </c>
      <c r="S12" s="8">
        <f t="shared" si="12"/>
        <v>0.12170195476210471</v>
      </c>
      <c r="T12" s="8">
        <f t="shared" si="12"/>
        <v>8.4306699506180485E-2</v>
      </c>
    </row>
    <row r="13" spans="2:20" hidden="1" x14ac:dyDescent="0.2">
      <c r="C13" s="8">
        <f t="shared" si="9"/>
        <v>0.27272727272727276</v>
      </c>
      <c r="D13" s="8">
        <f t="shared" si="9"/>
        <v>0.42857142857142855</v>
      </c>
      <c r="E13" s="8">
        <f t="shared" si="9"/>
        <v>0.3</v>
      </c>
      <c r="H13" s="8">
        <f t="shared" si="10"/>
        <v>0.21052631578947367</v>
      </c>
      <c r="I13" s="8">
        <f t="shared" si="10"/>
        <v>0.375</v>
      </c>
      <c r="J13" s="8">
        <f t="shared" si="10"/>
        <v>0.23076923076923073</v>
      </c>
      <c r="M13" s="8">
        <f t="shared" si="11"/>
        <v>0.29411764705882354</v>
      </c>
      <c r="N13" s="8">
        <f t="shared" si="11"/>
        <v>0.4</v>
      </c>
      <c r="O13" s="8">
        <f t="shared" si="11"/>
        <v>0.30769230769230771</v>
      </c>
      <c r="R13" s="8">
        <f t="shared" si="12"/>
        <v>0.25811567080828118</v>
      </c>
      <c r="S13" s="8">
        <f t="shared" si="12"/>
        <v>0.40185100067273472</v>
      </c>
      <c r="T13" s="8">
        <f t="shared" si="12"/>
        <v>0.2783745883638285</v>
      </c>
    </row>
    <row r="14" spans="2:20" hidden="1" x14ac:dyDescent="0.2"/>
    <row r="15" spans="2:20" x14ac:dyDescent="0.2">
      <c r="D15" s="8" t="str">
        <f>B4</f>
        <v>Usluga uvodi AI tehnologiju u savjetovanje i povećava digitalnu prepoznatljivost organizacije kod 30–40 % novih korisnika.</v>
      </c>
      <c r="E15" s="8">
        <f>AVERAGE(C11:E11)</f>
        <v>0.52467532467532463</v>
      </c>
      <c r="I15" s="8" t="str">
        <f>G4</f>
        <v>Usluga uvodi AI tehnologiju u savjetovanje i povećava digitalnu prepoznatljivost organizacije kod 30–40 % novih korisnika.</v>
      </c>
      <c r="J15" s="8">
        <f>AVERAGE(H11:J11)</f>
        <v>0.60796221322537114</v>
      </c>
      <c r="N15" s="8" t="str">
        <f>L4</f>
        <v>Usluga uvodi AI tehnologiju u savjetovanje i povećava digitalnu prepoznatljivost organizacije kod 30–40 % novih korisnika.</v>
      </c>
      <c r="O15" s="8">
        <f>AVERAGE(M11:O11)</f>
        <v>0.56787330316742091</v>
      </c>
      <c r="S15" s="8" t="str">
        <f>Q4</f>
        <v>Usluga uvodi AI tehnologiju u savjetovanje i povećava digitalnu prepoznatljivost organizacije kod 30–40 % novih korisnika.</v>
      </c>
      <c r="T15" s="11">
        <f>AVERAGE(R11:T11)</f>
        <v>0.5682343752986817</v>
      </c>
    </row>
    <row r="16" spans="2:20" x14ac:dyDescent="0.2">
      <c r="D16" s="8" t="str">
        <f t="shared" ref="D16:D17" si="13">B5</f>
        <v>Digitalni portal povećava percepciju profesionalnosti i transparentnosti procesa kod većine poslovnih klijenata.</v>
      </c>
      <c r="E16" s="8">
        <f t="shared" ref="E16:E17" si="14">AVERAGE(C12:E12)</f>
        <v>0.14155844155844155</v>
      </c>
      <c r="I16" s="8" t="str">
        <f t="shared" ref="I16:I17" si="15">G5</f>
        <v>Digitalni portal povećava percepciju profesionalnosti i transparentnosti procesa kod većine poslovnih klijenata.</v>
      </c>
      <c r="J16" s="8">
        <f t="shared" ref="J16:J17" si="16">AVERAGE(H12:J12)</f>
        <v>0.11993927125506075</v>
      </c>
      <c r="N16" s="8" t="str">
        <f t="shared" ref="N16:N17" si="17">L5</f>
        <v>Digitalni portal povećava percepciju profesionalnosti i transparentnosti procesa kod većine poslovnih klijenata.</v>
      </c>
      <c r="O16" s="8">
        <f t="shared" ref="O16:O17" si="18">AVERAGE(M12:O12)</f>
        <v>9.8190045248868776E-2</v>
      </c>
      <c r="S16" s="8" t="str">
        <f t="shared" ref="S16:S17" si="19">Q5</f>
        <v>Digitalni portal povećava percepciju profesionalnosti i transparentnosti procesa kod većine poslovnih klijenata.</v>
      </c>
      <c r="T16" s="11">
        <f t="shared" ref="T16:T17" si="20">AVERAGE(R12:T12)</f>
        <v>0.11898520475303685</v>
      </c>
    </row>
    <row r="17" spans="2:20" x14ac:dyDescent="0.2">
      <c r="D17" s="8" t="str">
        <f t="shared" si="13"/>
        <v>Online radionice povećavaju vidljivost organizacije u B2C segmentu i omogućuju kontinuiranu digitalnu prisutnost.</v>
      </c>
      <c r="E17" s="8">
        <f t="shared" si="14"/>
        <v>0.33376623376623377</v>
      </c>
      <c r="I17" s="8" t="str">
        <f t="shared" si="15"/>
        <v>Online radionice povećavaju vidljivost organizacije u B2C segmentu i omogućuju kontinuiranu digitalnu prisutnost.</v>
      </c>
      <c r="J17" s="8">
        <f t="shared" si="16"/>
        <v>0.27209851551956815</v>
      </c>
      <c r="N17" s="8" t="str">
        <f t="shared" si="17"/>
        <v>Online radionice povećavaju vidljivost organizacije u B2C segmentu i omogućuju kontinuiranu digitalnu prisutnost.</v>
      </c>
      <c r="O17" s="8">
        <f t="shared" si="18"/>
        <v>0.33393665158371039</v>
      </c>
      <c r="S17" s="8" t="str">
        <f t="shared" si="19"/>
        <v>Online radionice povećavaju vidljivost organizacije u B2C segmentu i omogućuju kontinuiranu digitalnu prisutnost.</v>
      </c>
      <c r="T17" s="11">
        <f t="shared" si="20"/>
        <v>0.31278041994828149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0.52467532467532463</v>
      </c>
      <c r="D21" s="8">
        <f>D4*E$16</f>
        <v>0.42467532467532465</v>
      </c>
      <c r="E21" s="8">
        <f>E4*E$17</f>
        <v>0.66753246753246753</v>
      </c>
      <c r="H21" s="8">
        <f>H4*J$15</f>
        <v>0.60796221322537114</v>
      </c>
      <c r="I21" s="8">
        <f>I4*J$16</f>
        <v>0.479757085020243</v>
      </c>
      <c r="J21" s="8">
        <f>J4*J$17</f>
        <v>0.81629554655870451</v>
      </c>
      <c r="M21" s="8">
        <f>M4*O$15</f>
        <v>0.56787330316742091</v>
      </c>
      <c r="N21" s="8">
        <f>N4*O$16</f>
        <v>0.49095022624434387</v>
      </c>
      <c r="O21" s="8">
        <f>O4*O$17</f>
        <v>0.66787330316742077</v>
      </c>
      <c r="R21" s="8">
        <f>R4*T$15</f>
        <v>0.5682343752986817</v>
      </c>
      <c r="S21" s="8">
        <f>S4*T$16</f>
        <v>0.4658113278655156</v>
      </c>
      <c r="T21" s="8">
        <f>T4*T$17</f>
        <v>0.71608840301322019</v>
      </c>
    </row>
    <row r="22" spans="2:20" hidden="1" x14ac:dyDescent="0.2">
      <c r="C22" s="8">
        <f t="shared" ref="C22:C23" si="21">C5*E$15</f>
        <v>0.17489177489177488</v>
      </c>
      <c r="D22" s="8">
        <f t="shared" ref="D22:D23" si="22">D5*E$16</f>
        <v>0.14155844155844155</v>
      </c>
      <c r="E22" s="8">
        <f t="shared" ref="E22:E23" si="23">E5*E$17</f>
        <v>0.11125541125541125</v>
      </c>
      <c r="H22" s="8">
        <f t="shared" ref="H22:H23" si="24">H5*J$15</f>
        <v>0.15199055330634278</v>
      </c>
      <c r="I22" s="8">
        <f t="shared" ref="I22:I23" si="25">I5*J$16</f>
        <v>0.11993927125506075</v>
      </c>
      <c r="J22" s="8">
        <f t="shared" ref="J22:J23" si="26">J5*J$17</f>
        <v>9.0699505173189379E-2</v>
      </c>
      <c r="M22" s="8">
        <f t="shared" ref="M22:M23" si="27">M5*O$15</f>
        <v>0.11357466063348419</v>
      </c>
      <c r="N22" s="8">
        <f t="shared" ref="N22:N23" si="28">N5*O$16</f>
        <v>9.8190045248868776E-2</v>
      </c>
      <c r="O22" s="8">
        <f t="shared" ref="O22:O23" si="29">O5*O$17</f>
        <v>8.3484162895927597E-2</v>
      </c>
      <c r="R22" s="8">
        <f t="shared" ref="R22:R23" si="30">R5*T$15</f>
        <v>0.145147787200546</v>
      </c>
      <c r="S22" s="8">
        <f t="shared" ref="S22:S23" si="31">S5*T$16</f>
        <v>0.11898520475303685</v>
      </c>
      <c r="T22" s="8">
        <f t="shared" ref="T22:T23" si="32">T5*T$17</f>
        <v>9.4726623687117803E-2</v>
      </c>
    </row>
    <row r="23" spans="2:20" hidden="1" x14ac:dyDescent="0.2">
      <c r="C23" s="8">
        <f t="shared" si="21"/>
        <v>0.26233766233766231</v>
      </c>
      <c r="D23" s="8">
        <f t="shared" si="22"/>
        <v>0.42467532467532465</v>
      </c>
      <c r="E23" s="8">
        <f t="shared" si="23"/>
        <v>0.33376623376623377</v>
      </c>
      <c r="H23" s="8">
        <f t="shared" si="24"/>
        <v>0.2026540710751237</v>
      </c>
      <c r="I23" s="8">
        <f t="shared" si="25"/>
        <v>0.35981781376518224</v>
      </c>
      <c r="J23" s="8">
        <f t="shared" si="26"/>
        <v>0.27209851551956815</v>
      </c>
      <c r="M23" s="8">
        <f t="shared" si="27"/>
        <v>0.28393665158371045</v>
      </c>
      <c r="N23" s="8">
        <f t="shared" si="28"/>
        <v>0.39276018099547511</v>
      </c>
      <c r="O23" s="8">
        <f t="shared" si="29"/>
        <v>0.33393665158371039</v>
      </c>
      <c r="R23" s="8">
        <f t="shared" si="30"/>
        <v>0.24819922482628143</v>
      </c>
      <c r="S23" s="8">
        <f t="shared" si="31"/>
        <v>0.39288048978935886</v>
      </c>
      <c r="T23" s="8">
        <f t="shared" si="32"/>
        <v>0.31278041994828149</v>
      </c>
    </row>
    <row r="24" spans="2:20" hidden="1" x14ac:dyDescent="0.2"/>
    <row r="25" spans="2:20" hidden="1" x14ac:dyDescent="0.2">
      <c r="C25" s="8">
        <f>SUM(C21:E21)</f>
        <v>1.6168831168831168</v>
      </c>
      <c r="D25" s="8">
        <f>SUM(C22:E22)</f>
        <v>0.4277056277056277</v>
      </c>
      <c r="E25" s="8">
        <f>SUM(C23:E23)</f>
        <v>1.0207792207792208</v>
      </c>
      <c r="H25" s="8">
        <f>SUM(H21:J21)</f>
        <v>1.9040148448043186</v>
      </c>
      <c r="I25" s="8">
        <f>SUM(H22:J22)</f>
        <v>0.36262932973459289</v>
      </c>
      <c r="J25" s="8">
        <f>SUM(H23:J23)</f>
        <v>0.83457040035987418</v>
      </c>
      <c r="M25" s="8">
        <f>SUM(M21:O21)</f>
        <v>1.7266968325791856</v>
      </c>
      <c r="N25" s="8">
        <f>SUM(M22:O22)</f>
        <v>0.29524886877828055</v>
      </c>
      <c r="O25" s="8">
        <f>SUM(M23:O23)</f>
        <v>1.0106334841628959</v>
      </c>
      <c r="R25" s="8">
        <f>SUM(R21:T21)</f>
        <v>1.7501341061774176</v>
      </c>
      <c r="S25" s="8">
        <f>SUM(R22:T22)</f>
        <v>0.35885961564070068</v>
      </c>
      <c r="T25" s="8">
        <f>SUM(R23:T23)</f>
        <v>0.95386013456392171</v>
      </c>
    </row>
    <row r="26" spans="2:20" hidden="1" x14ac:dyDescent="0.2"/>
    <row r="27" spans="2:20" hidden="1" x14ac:dyDescent="0.2">
      <c r="C27" s="8">
        <f>E15</f>
        <v>0.52467532467532463</v>
      </c>
      <c r="D27" s="8">
        <f>E16</f>
        <v>0.14155844155844155</v>
      </c>
      <c r="E27" s="8">
        <f>E17</f>
        <v>0.33376623376623377</v>
      </c>
      <c r="H27" s="8">
        <f>J15</f>
        <v>0.60796221322537114</v>
      </c>
      <c r="I27" s="8">
        <f>J16</f>
        <v>0.11993927125506075</v>
      </c>
      <c r="J27" s="8">
        <f>J17</f>
        <v>0.27209851551956815</v>
      </c>
      <c r="M27" s="8">
        <f>O15</f>
        <v>0.56787330316742091</v>
      </c>
      <c r="N27" s="8">
        <f>O16</f>
        <v>9.8190045248868776E-2</v>
      </c>
      <c r="O27" s="8">
        <f>O17</f>
        <v>0.33393665158371039</v>
      </c>
      <c r="R27" s="8">
        <f>T15</f>
        <v>0.5682343752986817</v>
      </c>
      <c r="S27" s="8">
        <f>T16</f>
        <v>0.11898520475303685</v>
      </c>
      <c r="T27" s="8">
        <f>T17</f>
        <v>0.31278041994828149</v>
      </c>
    </row>
    <row r="28" spans="2:20" hidden="1" x14ac:dyDescent="0.2"/>
    <row r="29" spans="2:20" hidden="1" x14ac:dyDescent="0.2">
      <c r="C29" s="8">
        <f>C25/C27</f>
        <v>3.081683168316832</v>
      </c>
      <c r="D29" s="8">
        <f t="shared" ref="D29:E29" si="33">D25/D27</f>
        <v>3.0214067278287464</v>
      </c>
      <c r="E29" s="8">
        <f t="shared" si="33"/>
        <v>3.058365758754864</v>
      </c>
      <c r="H29" s="8">
        <f>H25/H27</f>
        <v>3.1317980022197558</v>
      </c>
      <c r="I29" s="8">
        <f t="shared" ref="I29:J29" si="34">I25/I27</f>
        <v>3.0234411626816686</v>
      </c>
      <c r="J29" s="8">
        <f t="shared" si="34"/>
        <v>3.0671626369084528</v>
      </c>
      <c r="M29" s="8">
        <f>M25/M27</f>
        <v>3.0406374501992031</v>
      </c>
      <c r="N29" s="8">
        <f t="shared" ref="N29:O29" si="35">N25/N27</f>
        <v>3.0069124423963136</v>
      </c>
      <c r="O29" s="8">
        <f t="shared" si="35"/>
        <v>3.0264227642276422</v>
      </c>
      <c r="R29" s="8">
        <f>R25/R27</f>
        <v>3.0799511297736828</v>
      </c>
      <c r="S29" s="8">
        <f t="shared" ref="S29:T29" si="36">S25/S27</f>
        <v>3.0160020011357043</v>
      </c>
      <c r="T29" s="8">
        <f t="shared" si="36"/>
        <v>3.0496158766000869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3.0538185516334804</v>
      </c>
      <c r="I31" s="8" t="s">
        <v>20</v>
      </c>
      <c r="J31" s="8">
        <f>AVERAGE(H29:J29)</f>
        <v>3.0741339339366256</v>
      </c>
      <c r="N31" s="8" t="s">
        <v>20</v>
      </c>
      <c r="O31" s="8">
        <f>AVERAGE(M29:O29)</f>
        <v>3.0246575522743862</v>
      </c>
      <c r="S31" s="8" t="s">
        <v>20</v>
      </c>
      <c r="T31" s="8">
        <f>AVERAGE(R29:T29)</f>
        <v>3.048523002503158</v>
      </c>
    </row>
    <row r="32" spans="2:20" hidden="1" x14ac:dyDescent="0.2">
      <c r="D32" s="8" t="s">
        <v>21</v>
      </c>
      <c r="E32" s="8">
        <f>(E31-3)/2</f>
        <v>2.6909275816740186E-2</v>
      </c>
      <c r="I32" s="8" t="s">
        <v>21</v>
      </c>
      <c r="J32" s="8">
        <f>(J31-3)/2</f>
        <v>3.7066966968312798E-2</v>
      </c>
      <c r="N32" s="8" t="s">
        <v>21</v>
      </c>
      <c r="O32" s="8">
        <f>(O31-3)/2</f>
        <v>1.2328776137193076E-2</v>
      </c>
      <c r="S32" s="8" t="s">
        <v>21</v>
      </c>
      <c r="T32" s="8">
        <f>(T31-3)/2</f>
        <v>2.4261501251578999E-2</v>
      </c>
    </row>
    <row r="33" spans="4:20" s="117" customFormat="1" x14ac:dyDescent="0.2">
      <c r="D33" s="47" t="s">
        <v>22</v>
      </c>
      <c r="E33" s="47">
        <f>E32/0.52</f>
        <v>5.1748607339884969E-2</v>
      </c>
      <c r="I33" s="47" t="s">
        <v>22</v>
      </c>
      <c r="J33" s="47">
        <f>J32/0.52</f>
        <v>7.128262878521692E-2</v>
      </c>
      <c r="N33" s="47" t="s">
        <v>22</v>
      </c>
      <c r="O33" s="47">
        <f>O32/0.52</f>
        <v>2.3709184879217454E-2</v>
      </c>
      <c r="S33" s="47" t="s">
        <v>22</v>
      </c>
      <c r="T33" s="47">
        <f>T32/0.52</f>
        <v>4.6656733176113456E-2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766C-2C59-7342-BEF2-7D9C9E5A22F4}">
  <dimension ref="B2:T33"/>
  <sheetViews>
    <sheetView topLeftCell="C1" zoomScale="65" zoomScaleNormal="70" workbookViewId="0">
      <selection activeCell="T33" sqref="T33"/>
    </sheetView>
  </sheetViews>
  <sheetFormatPr baseColWidth="10" defaultColWidth="8.83203125" defaultRowHeight="15" x14ac:dyDescent="0.2"/>
  <cols>
    <col min="2" max="2" width="23.5" customWidth="1"/>
    <col min="3" max="3" width="26.1640625" customWidth="1"/>
    <col min="4" max="4" width="22.5" customWidth="1"/>
    <col min="5" max="5" width="22.1640625" customWidth="1"/>
    <col min="7" max="8" width="20.83203125" customWidth="1"/>
    <col min="9" max="9" width="22" customWidth="1"/>
    <col min="10" max="10" width="24.5" customWidth="1"/>
    <col min="12" max="12" width="21.33203125" customWidth="1"/>
    <col min="13" max="13" width="21.1640625" customWidth="1"/>
    <col min="14" max="15" width="22.1640625" customWidth="1"/>
    <col min="17" max="17" width="19.83203125" customWidth="1"/>
    <col min="18" max="18" width="17.5" customWidth="1"/>
    <col min="19" max="19" width="22.1640625" customWidth="1"/>
    <col min="20" max="20" width="17.83203125" customWidth="1"/>
  </cols>
  <sheetData>
    <row r="2" spans="2:20" ht="5.5" customHeight="1" x14ac:dyDescent="0.2"/>
    <row r="3" spans="2:20" ht="112.25" customHeight="1" x14ac:dyDescent="0.2">
      <c r="B3" s="8"/>
      <c r="C3" s="13" t="s">
        <v>32</v>
      </c>
      <c r="D3" s="13" t="s">
        <v>41</v>
      </c>
      <c r="E3" s="13" t="s">
        <v>50</v>
      </c>
      <c r="G3" s="8"/>
      <c r="H3" s="13" t="str">
        <f>G4</f>
        <v>Implementacija traje približno 6–9 mjeseci i uključuje treniranje AI modela, pripremu podataka i postavljanje sigurnosnih mehanizama.</v>
      </c>
      <c r="I3" s="13" t="str">
        <f>G5</f>
        <v>Implementacija traje oko 3–4 mjeseca i uključuje razvoj korisničkog sučelja te funkcionalnosti za upravljanje dokumentima i statusima.</v>
      </c>
      <c r="J3" s="13" t="str">
        <f>G6</f>
        <v>Implementacija traje 1–2 mjeseca jer se temelji na postojećem LMS sustavu i dostupnim edukacijskim materijalima.</v>
      </c>
      <c r="L3" s="8"/>
      <c r="M3" s="13" t="str">
        <f>L4</f>
        <v>Implementacija traje približno 6–9 mjeseci i uključuje treniranje AI modela, pripremu podataka i postavljanje sigurnosnih mehanizama.</v>
      </c>
      <c r="N3" s="13" t="str">
        <f>L5</f>
        <v>Implementacija traje oko 3–4 mjeseca i uključuje razvoj korisničkog sučelja te funkcionalnosti za upravljanje dokumentima i statusima.</v>
      </c>
      <c r="O3" s="13" t="str">
        <f>L6</f>
        <v>Implementacija traje 1–2 mjeseca jer se temelji na postojećem LMS sustavu i dostupnim edukacijskim materijalima.</v>
      </c>
      <c r="Q3" s="8"/>
      <c r="R3" s="13" t="str">
        <f>Q4</f>
        <v>Implementacija traje približno 6–9 mjeseci i uključuje treniranje AI modela, pripremu podataka i postavljanje sigurnosnih mehanizama.</v>
      </c>
      <c r="S3" s="13" t="str">
        <f>Q5</f>
        <v>Implementacija traje oko 3–4 mjeseca i uključuje razvoj korisničkog sučelja te funkcionalnosti za upravljanje dokumentima i statusima.</v>
      </c>
      <c r="T3" s="13" t="str">
        <f>Q6</f>
        <v>Implementacija traje 1–2 mjeseca jer se temelji na postojećem LMS sustavu i dostupnim edukacijskim materijalima.</v>
      </c>
    </row>
    <row r="4" spans="2:20" ht="108.5" customHeight="1" x14ac:dyDescent="0.2">
      <c r="B4" s="12" t="s">
        <v>32</v>
      </c>
      <c r="C4" s="8">
        <v>1</v>
      </c>
      <c r="D4" s="8">
        <f>1/4</f>
        <v>0.25</v>
      </c>
      <c r="E4" s="8">
        <f>1/6</f>
        <v>0.16666666666666666</v>
      </c>
      <c r="G4" s="13" t="str">
        <f>B4</f>
        <v>Implementacija traje približno 6–9 mjeseci i uključuje treniranje AI modela, pripremu podataka i postavljanje sigurnosnih mehanizama.</v>
      </c>
      <c r="H4" s="8">
        <v>1</v>
      </c>
      <c r="I4" s="8">
        <f>1/3</f>
        <v>0.33333333333333331</v>
      </c>
      <c r="J4" s="8">
        <f>1/5</f>
        <v>0.2</v>
      </c>
      <c r="L4" s="13" t="str">
        <f>G4</f>
        <v>Implementacija traje približno 6–9 mjeseci i uključuje treniranje AI modela, pripremu podataka i postavljanje sigurnosnih mehanizama.</v>
      </c>
      <c r="M4" s="8">
        <v>1</v>
      </c>
      <c r="N4" s="8">
        <f>1/3</f>
        <v>0.33333333333333331</v>
      </c>
      <c r="O4" s="8">
        <f>1/4</f>
        <v>0.25</v>
      </c>
      <c r="Q4" s="13" t="str">
        <f>L4</f>
        <v>Implementacija traje približno 6–9 mjeseci i uključuje treniranje AI modela, pripremu podataka i postavljanje sigurnosnih mehanizama.</v>
      </c>
      <c r="R4" s="8">
        <f>GEOMEAN(C4,H4,M4)</f>
        <v>1</v>
      </c>
      <c r="S4" s="8">
        <f t="shared" ref="S4:T6" si="0">GEOMEAN(D4,I4,N4)</f>
        <v>0.30285343213868993</v>
      </c>
      <c r="T4" s="8">
        <f t="shared" si="0"/>
        <v>0.20274006651911333</v>
      </c>
    </row>
    <row r="5" spans="2:20" ht="84" customHeight="1" x14ac:dyDescent="0.2">
      <c r="B5" s="12" t="s">
        <v>41</v>
      </c>
      <c r="C5" s="8">
        <v>4</v>
      </c>
      <c r="D5" s="8">
        <v>1</v>
      </c>
      <c r="E5" s="8">
        <f>1/3</f>
        <v>0.33333333333333331</v>
      </c>
      <c r="G5" s="13" t="str">
        <f t="shared" ref="G5:G6" si="1">B5</f>
        <v>Implementacija traje oko 3–4 mjeseca i uključuje razvoj korisničkog sučelja te funkcionalnosti za upravljanje dokumentima i statusima.</v>
      </c>
      <c r="H5" s="8">
        <v>3</v>
      </c>
      <c r="I5" s="8">
        <v>1</v>
      </c>
      <c r="J5" s="8">
        <f>1/2</f>
        <v>0.5</v>
      </c>
      <c r="L5" s="13" t="str">
        <f t="shared" ref="L5:L6" si="2">G5</f>
        <v>Implementacija traje oko 3–4 mjeseca i uključuje razvoj korisničkog sučelja te funkcionalnosti za upravljanje dokumentima i statusima.</v>
      </c>
      <c r="M5" s="8">
        <v>3</v>
      </c>
      <c r="N5" s="8">
        <v>1</v>
      </c>
      <c r="O5" s="8">
        <f>1/2</f>
        <v>0.5</v>
      </c>
      <c r="Q5" s="13" t="str">
        <f t="shared" ref="Q5:Q6" si="3">L5</f>
        <v>Implementacija traje oko 3–4 mjeseca i uključuje razvoj korisničkog sučelja te funkcionalnosti za upravljanje dokumentima i statusima.</v>
      </c>
      <c r="R5" s="8">
        <f t="shared" ref="R5:R6" si="4">GEOMEAN(C5,H5,M5)</f>
        <v>3.3019272488946267</v>
      </c>
      <c r="S5" s="8">
        <f t="shared" si="0"/>
        <v>1</v>
      </c>
      <c r="T5" s="8">
        <f t="shared" si="0"/>
        <v>0.43679023236814946</v>
      </c>
    </row>
    <row r="6" spans="2:20" ht="99.5" customHeight="1" x14ac:dyDescent="0.2">
      <c r="B6" s="12" t="s">
        <v>50</v>
      </c>
      <c r="C6" s="8">
        <v>6</v>
      </c>
      <c r="D6" s="8">
        <v>3</v>
      </c>
      <c r="E6" s="8">
        <v>1</v>
      </c>
      <c r="G6" s="13" t="str">
        <f t="shared" si="1"/>
        <v>Implementacija traje 1–2 mjeseca jer se temelji na postojećem LMS sustavu i dostupnim edukacijskim materijalima.</v>
      </c>
      <c r="H6" s="8">
        <v>5</v>
      </c>
      <c r="I6" s="8">
        <v>2</v>
      </c>
      <c r="J6" s="8">
        <v>1</v>
      </c>
      <c r="L6" s="13" t="str">
        <f t="shared" si="2"/>
        <v>Implementacija traje 1–2 mjeseca jer se temelji na postojećem LMS sustavu i dostupnim edukacijskim materijalima.</v>
      </c>
      <c r="M6" s="8">
        <v>4</v>
      </c>
      <c r="N6" s="8">
        <v>2</v>
      </c>
      <c r="O6" s="8">
        <v>1</v>
      </c>
      <c r="Q6" s="13" t="str">
        <f t="shared" si="3"/>
        <v>Implementacija traje 1–2 mjeseca jer se temelji na postojećem LMS sustavu i dostupnim edukacijskim materijalima.</v>
      </c>
      <c r="R6" s="8">
        <f t="shared" si="4"/>
        <v>4.9324241486609397</v>
      </c>
      <c r="S6" s="8">
        <f t="shared" si="0"/>
        <v>2.2894284851066637</v>
      </c>
      <c r="T6" s="8">
        <f t="shared" si="0"/>
        <v>1</v>
      </c>
    </row>
    <row r="8" spans="2:20" hidden="1" x14ac:dyDescent="0.2">
      <c r="C8" s="8">
        <f>SUM(C4:C6)</f>
        <v>11</v>
      </c>
      <c r="D8" s="8">
        <f t="shared" ref="D8:E8" si="5">SUM(D4:D6)</f>
        <v>4.25</v>
      </c>
      <c r="E8" s="8">
        <f t="shared" si="5"/>
        <v>1.5</v>
      </c>
      <c r="H8" s="8">
        <f>SUM(H4:H6)</f>
        <v>9</v>
      </c>
      <c r="I8" s="8">
        <f t="shared" ref="I8:J8" si="6">SUM(I4:I6)</f>
        <v>3.333333333333333</v>
      </c>
      <c r="J8" s="8">
        <f t="shared" si="6"/>
        <v>1.7</v>
      </c>
      <c r="M8" s="8">
        <f>SUM(M4:M6)</f>
        <v>8</v>
      </c>
      <c r="N8" s="8">
        <f t="shared" ref="N8:O8" si="7">SUM(N4:N6)</f>
        <v>3.333333333333333</v>
      </c>
      <c r="O8" s="8">
        <f t="shared" si="7"/>
        <v>1.75</v>
      </c>
      <c r="R8" s="8">
        <f>SUM(R4:R6)</f>
        <v>9.2343513975555673</v>
      </c>
      <c r="S8" s="8">
        <f t="shared" ref="S8:T8" si="8">SUM(S4:S6)</f>
        <v>3.5922819172453537</v>
      </c>
      <c r="T8" s="8">
        <f t="shared" si="8"/>
        <v>1.6395302988872626</v>
      </c>
    </row>
    <row r="9" spans="2:20" hidden="1" x14ac:dyDescent="0.2"/>
    <row r="10" spans="2:20" hidden="1" x14ac:dyDescent="0.2"/>
    <row r="11" spans="2:20" hidden="1" x14ac:dyDescent="0.2">
      <c r="C11" s="8">
        <f>C4/C$8</f>
        <v>9.0909090909090912E-2</v>
      </c>
      <c r="D11" s="8">
        <f>D4/D$8</f>
        <v>5.8823529411764705E-2</v>
      </c>
      <c r="E11" s="8">
        <f>E4/E$8</f>
        <v>0.1111111111111111</v>
      </c>
      <c r="H11" s="8">
        <f>H4/H$8</f>
        <v>0.1111111111111111</v>
      </c>
      <c r="I11" s="8">
        <f>I4/I$8</f>
        <v>0.1</v>
      </c>
      <c r="J11" s="8">
        <f>J4/J$8</f>
        <v>0.11764705882352942</v>
      </c>
      <c r="M11" s="8">
        <f>M4/M$8</f>
        <v>0.125</v>
      </c>
      <c r="N11" s="8">
        <f>N4/N$8</f>
        <v>0.1</v>
      </c>
      <c r="O11" s="8">
        <f>O4/O$8</f>
        <v>0.14285714285714285</v>
      </c>
      <c r="R11" s="8">
        <f>R4/R$8</f>
        <v>0.10829130893423775</v>
      </c>
      <c r="S11" s="8">
        <f>S4/S$8</f>
        <v>8.4306699506180485E-2</v>
      </c>
      <c r="T11" s="8">
        <f>T4/T$8</f>
        <v>0.12365740764700205</v>
      </c>
    </row>
    <row r="12" spans="2:20" hidden="1" x14ac:dyDescent="0.2">
      <c r="C12" s="8">
        <f t="shared" ref="C12:E13" si="9">C5/C$8</f>
        <v>0.36363636363636365</v>
      </c>
      <c r="D12" s="8">
        <f t="shared" si="9"/>
        <v>0.23529411764705882</v>
      </c>
      <c r="E12" s="8">
        <f t="shared" si="9"/>
        <v>0.22222222222222221</v>
      </c>
      <c r="H12" s="8">
        <f t="shared" ref="H12:J13" si="10">H5/H$8</f>
        <v>0.33333333333333331</v>
      </c>
      <c r="I12" s="8">
        <f t="shared" si="10"/>
        <v>0.30000000000000004</v>
      </c>
      <c r="J12" s="8">
        <f t="shared" si="10"/>
        <v>0.29411764705882354</v>
      </c>
      <c r="M12" s="8">
        <f t="shared" ref="M12:O13" si="11">M5/M$8</f>
        <v>0.375</v>
      </c>
      <c r="N12" s="8">
        <f t="shared" si="11"/>
        <v>0.30000000000000004</v>
      </c>
      <c r="O12" s="8">
        <f t="shared" si="11"/>
        <v>0.2857142857142857</v>
      </c>
      <c r="R12" s="8">
        <f t="shared" ref="R12:T13" si="12">R5/R$8</f>
        <v>0.35757002378842573</v>
      </c>
      <c r="S12" s="8">
        <f t="shared" si="12"/>
        <v>0.2783745883638285</v>
      </c>
      <c r="T12" s="8">
        <f t="shared" si="12"/>
        <v>0.26641180871411513</v>
      </c>
    </row>
    <row r="13" spans="2:20" hidden="1" x14ac:dyDescent="0.2">
      <c r="C13" s="8">
        <f t="shared" si="9"/>
        <v>0.54545454545454541</v>
      </c>
      <c r="D13" s="8">
        <f t="shared" si="9"/>
        <v>0.70588235294117652</v>
      </c>
      <c r="E13" s="8">
        <f t="shared" si="9"/>
        <v>0.66666666666666663</v>
      </c>
      <c r="H13" s="8">
        <f t="shared" si="10"/>
        <v>0.55555555555555558</v>
      </c>
      <c r="I13" s="8">
        <f t="shared" si="10"/>
        <v>0.60000000000000009</v>
      </c>
      <c r="J13" s="8">
        <f t="shared" si="10"/>
        <v>0.58823529411764708</v>
      </c>
      <c r="M13" s="8">
        <f t="shared" si="11"/>
        <v>0.5</v>
      </c>
      <c r="N13" s="8">
        <f t="shared" si="11"/>
        <v>0.60000000000000009</v>
      </c>
      <c r="O13" s="8">
        <f t="shared" si="11"/>
        <v>0.5714285714285714</v>
      </c>
      <c r="R13" s="8">
        <f t="shared" si="12"/>
        <v>0.53413866727733639</v>
      </c>
      <c r="S13" s="8">
        <f t="shared" si="12"/>
        <v>0.63731871212999103</v>
      </c>
      <c r="T13" s="8">
        <f t="shared" si="12"/>
        <v>0.60993078363888287</v>
      </c>
    </row>
    <row r="14" spans="2:20" hidden="1" x14ac:dyDescent="0.2"/>
    <row r="15" spans="2:20" x14ac:dyDescent="0.2">
      <c r="D15" s="8" t="str">
        <f>B4</f>
        <v>Implementacija traje približno 6–9 mjeseci i uključuje treniranje AI modela, pripremu podataka i postavljanje sigurnosnih mehanizama.</v>
      </c>
      <c r="E15" s="8">
        <f>AVERAGE(C11:E11)</f>
        <v>8.6947910477322241E-2</v>
      </c>
      <c r="I15" s="8" t="str">
        <f>G4</f>
        <v>Implementacija traje približno 6–9 mjeseci i uključuje treniranje AI modela, pripremu podataka i postavljanje sigurnosnih mehanizama.</v>
      </c>
      <c r="J15" s="8">
        <f>AVERAGE(H11:J11)</f>
        <v>0.10958605664488018</v>
      </c>
      <c r="N15" s="8" t="str">
        <f>L4</f>
        <v>Implementacija traje približno 6–9 mjeseci i uključuje treniranje AI modela, pripremu podataka i postavljanje sigurnosnih mehanizama.</v>
      </c>
      <c r="O15" s="8">
        <f>AVERAGE(M11:O11)</f>
        <v>0.12261904761904763</v>
      </c>
      <c r="S15" s="8" t="str">
        <f>Q4</f>
        <v>Implementacija traje približno 6–9 mjeseci i uključuje treniranje AI modela, pripremu podataka i postavljanje sigurnosnih mehanizama.</v>
      </c>
      <c r="T15" s="11">
        <f>AVERAGE(R11:T11)</f>
        <v>0.10541847202914011</v>
      </c>
    </row>
    <row r="16" spans="2:20" x14ac:dyDescent="0.2">
      <c r="D16" s="8" t="str">
        <f t="shared" ref="D16:D17" si="13">B5</f>
        <v>Implementacija traje oko 3–4 mjeseca i uključuje razvoj korisničkog sučelja te funkcionalnosti za upravljanje dokumentima i statusima.</v>
      </c>
      <c r="E16" s="8">
        <f t="shared" ref="E16:E17" si="14">AVERAGE(C12:E12)</f>
        <v>0.27371756783521489</v>
      </c>
      <c r="I16" s="8" t="str">
        <f t="shared" ref="I16:I17" si="15">G5</f>
        <v>Implementacija traje oko 3–4 mjeseca i uključuje razvoj korisničkog sučelja te funkcionalnosti za upravljanje dokumentima i statusima.</v>
      </c>
      <c r="J16" s="8">
        <f t="shared" ref="J16:J17" si="16">AVERAGE(H12:J12)</f>
        <v>0.30915032679738563</v>
      </c>
      <c r="N16" s="8" t="str">
        <f t="shared" ref="N16:N17" si="17">L5</f>
        <v>Implementacija traje oko 3–4 mjeseca i uključuje razvoj korisničkog sučelja te funkcionalnosti za upravljanje dokumentima i statusima.</v>
      </c>
      <c r="O16" s="8">
        <f t="shared" ref="O16:O17" si="18">AVERAGE(M12:O12)</f>
        <v>0.32023809523809527</v>
      </c>
      <c r="S16" s="8" t="str">
        <f t="shared" ref="S16:S17" si="19">Q5</f>
        <v>Implementacija traje oko 3–4 mjeseca i uključuje razvoj korisničkog sučelja te funkcionalnosti za upravljanje dokumentima i statusima.</v>
      </c>
      <c r="T16" s="11">
        <f t="shared" ref="T16:T17" si="20">AVERAGE(R12:T12)</f>
        <v>0.30078547362212316</v>
      </c>
    </row>
    <row r="17" spans="2:20" x14ac:dyDescent="0.2">
      <c r="D17" s="8" t="str">
        <f t="shared" si="13"/>
        <v>Implementacija traje 1–2 mjeseca jer se temelji na postojećem LMS sustavu i dostupnim edukacijskim materijalima.</v>
      </c>
      <c r="E17" s="8">
        <f t="shared" si="14"/>
        <v>0.63933452168746285</v>
      </c>
      <c r="I17" s="8" t="str">
        <f t="shared" si="15"/>
        <v>Implementacija traje 1–2 mjeseca jer se temelji na postojećem LMS sustavu i dostupnim edukacijskim materijalima.</v>
      </c>
      <c r="J17" s="8">
        <f t="shared" si="16"/>
        <v>0.58126361655773418</v>
      </c>
      <c r="N17" s="8" t="str">
        <f t="shared" si="17"/>
        <v>Implementacija traje 1–2 mjeseca jer se temelji na postojećem LMS sustavu i dostupnim edukacijskim materijalima.</v>
      </c>
      <c r="O17" s="8">
        <f t="shared" si="18"/>
        <v>0.55714285714285716</v>
      </c>
      <c r="S17" s="8" t="str">
        <f t="shared" si="19"/>
        <v>Implementacija traje 1–2 mjeseca jer se temelji na postojećem LMS sustavu i dostupnim edukacijskim materijalima.</v>
      </c>
      <c r="T17" s="11">
        <f t="shared" si="20"/>
        <v>0.59379605434873683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8.6947910477322241E-2</v>
      </c>
      <c r="D21" s="8">
        <f>D4*E$16</f>
        <v>6.8429391958803723E-2</v>
      </c>
      <c r="E21" s="8">
        <f>E4*E$17</f>
        <v>0.10655575361457714</v>
      </c>
      <c r="H21" s="8">
        <f>H4*J$15</f>
        <v>0.10958605664488018</v>
      </c>
      <c r="I21" s="8">
        <f>I4*J$16</f>
        <v>0.10305010893246187</v>
      </c>
      <c r="J21" s="8">
        <f>J4*J$17</f>
        <v>0.11625272331154685</v>
      </c>
      <c r="M21" s="8">
        <f>M4*O$15</f>
        <v>0.12261904761904763</v>
      </c>
      <c r="N21" s="8">
        <f>N4*O$16</f>
        <v>0.10674603174603176</v>
      </c>
      <c r="O21" s="8">
        <f>O4*O$17</f>
        <v>0.13928571428571429</v>
      </c>
      <c r="R21" s="8">
        <f>R4*T$15</f>
        <v>0.10541847202914011</v>
      </c>
      <c r="S21" s="8">
        <f>S4*T$16</f>
        <v>9.1093913023921377E-2</v>
      </c>
      <c r="T21" s="8">
        <f>T4*T$17</f>
        <v>0.12038625155744995</v>
      </c>
    </row>
    <row r="22" spans="2:20" hidden="1" x14ac:dyDescent="0.2">
      <c r="C22" s="8">
        <f t="shared" ref="C22:C23" si="21">C5*E$15</f>
        <v>0.34779164190928896</v>
      </c>
      <c r="D22" s="8">
        <f t="shared" ref="D22:D23" si="22">D5*E$16</f>
        <v>0.27371756783521489</v>
      </c>
      <c r="E22" s="8">
        <f t="shared" ref="E22:E23" si="23">E5*E$17</f>
        <v>0.21311150722915428</v>
      </c>
      <c r="H22" s="8">
        <f t="shared" ref="H22:H23" si="24">H5*J$15</f>
        <v>0.32875816993464052</v>
      </c>
      <c r="I22" s="8">
        <f t="shared" ref="I22:I23" si="25">I5*J$16</f>
        <v>0.30915032679738563</v>
      </c>
      <c r="J22" s="8">
        <f t="shared" ref="J22:J23" si="26">J5*J$17</f>
        <v>0.29063180827886709</v>
      </c>
      <c r="M22" s="8">
        <f t="shared" ref="M22:M23" si="27">M5*O$15</f>
        <v>0.36785714285714288</v>
      </c>
      <c r="N22" s="8">
        <f t="shared" ref="N22:N23" si="28">N5*O$16</f>
        <v>0.32023809523809527</v>
      </c>
      <c r="O22" s="8">
        <f t="shared" ref="O22:O23" si="29">O5*O$17</f>
        <v>0.27857142857142858</v>
      </c>
      <c r="R22" s="8">
        <f t="shared" ref="R22:R23" si="30">R5*T$15</f>
        <v>0.34808412532985378</v>
      </c>
      <c r="S22" s="8">
        <f t="shared" ref="S22:S23" si="31">S5*T$16</f>
        <v>0.30078547362212316</v>
      </c>
      <c r="T22" s="8">
        <f t="shared" ref="T22:T23" si="32">T5*T$17</f>
        <v>0.25936431655827508</v>
      </c>
    </row>
    <row r="23" spans="2:20" hidden="1" x14ac:dyDescent="0.2">
      <c r="C23" s="8">
        <f t="shared" si="21"/>
        <v>0.52168746286393342</v>
      </c>
      <c r="D23" s="8">
        <f t="shared" si="22"/>
        <v>0.82115270350564473</v>
      </c>
      <c r="E23" s="8">
        <f t="shared" si="23"/>
        <v>0.63933452168746285</v>
      </c>
      <c r="H23" s="8">
        <f t="shared" si="24"/>
        <v>0.54793028322440085</v>
      </c>
      <c r="I23" s="8">
        <f t="shared" si="25"/>
        <v>0.61830065359477127</v>
      </c>
      <c r="J23" s="8">
        <f t="shared" si="26"/>
        <v>0.58126361655773418</v>
      </c>
      <c r="M23" s="8">
        <f t="shared" si="27"/>
        <v>0.49047619047619051</v>
      </c>
      <c r="N23" s="8">
        <f t="shared" si="28"/>
        <v>0.64047619047619053</v>
      </c>
      <c r="O23" s="8">
        <f t="shared" si="29"/>
        <v>0.55714285714285716</v>
      </c>
      <c r="R23" s="8">
        <f t="shared" si="30"/>
        <v>0.51996861715146847</v>
      </c>
      <c r="S23" s="8">
        <f t="shared" si="31"/>
        <v>0.6886268312167878</v>
      </c>
      <c r="T23" s="8">
        <f t="shared" si="32"/>
        <v>0.59379605434873683</v>
      </c>
    </row>
    <row r="24" spans="2:20" hidden="1" x14ac:dyDescent="0.2"/>
    <row r="25" spans="2:20" hidden="1" x14ac:dyDescent="0.2">
      <c r="C25" s="8">
        <f>SUM(C21:E21)</f>
        <v>0.26193305605070311</v>
      </c>
      <c r="D25" s="8">
        <f>SUM(C22:E22)</f>
        <v>0.83462071697365814</v>
      </c>
      <c r="E25" s="8">
        <f>SUM(C23:E23)</f>
        <v>1.982174688057041</v>
      </c>
      <c r="H25" s="8">
        <f>SUM(H21:J21)</f>
        <v>0.3288888888888889</v>
      </c>
      <c r="I25" s="8">
        <f>SUM(H22:J22)</f>
        <v>0.92854030501089313</v>
      </c>
      <c r="J25" s="8">
        <f>SUM(H23:J23)</f>
        <v>1.7474945533769062</v>
      </c>
      <c r="M25" s="8">
        <f>SUM(M21:O21)</f>
        <v>0.36865079365079367</v>
      </c>
      <c r="N25" s="8">
        <f>SUM(M22:O22)</f>
        <v>0.96666666666666667</v>
      </c>
      <c r="O25" s="8">
        <f>SUM(M23:O23)</f>
        <v>1.6880952380952381</v>
      </c>
      <c r="R25" s="8">
        <f>SUM(R21:T21)</f>
        <v>0.31689863661051143</v>
      </c>
      <c r="S25" s="8">
        <f>SUM(R22:T22)</f>
        <v>0.90823391551025201</v>
      </c>
      <c r="T25" s="8">
        <f>SUM(R23:T23)</f>
        <v>1.802391502716993</v>
      </c>
    </row>
    <row r="26" spans="2:20" hidden="1" x14ac:dyDescent="0.2"/>
    <row r="27" spans="2:20" hidden="1" x14ac:dyDescent="0.2">
      <c r="C27" s="8">
        <f>E15</f>
        <v>8.6947910477322241E-2</v>
      </c>
      <c r="D27" s="8">
        <f>E16</f>
        <v>0.27371756783521489</v>
      </c>
      <c r="E27" s="8">
        <f>E17</f>
        <v>0.63933452168746285</v>
      </c>
      <c r="H27" s="8">
        <f>J15</f>
        <v>0.10958605664488018</v>
      </c>
      <c r="I27" s="8">
        <f>J16</f>
        <v>0.30915032679738563</v>
      </c>
      <c r="J27" s="8">
        <f>J17</f>
        <v>0.58126361655773418</v>
      </c>
      <c r="M27" s="8">
        <f>O15</f>
        <v>0.12261904761904763</v>
      </c>
      <c r="N27" s="8">
        <f>O16</f>
        <v>0.32023809523809527</v>
      </c>
      <c r="O27" s="8">
        <f>O17</f>
        <v>0.55714285714285716</v>
      </c>
      <c r="R27" s="8">
        <f>T15</f>
        <v>0.10541847202914011</v>
      </c>
      <c r="S27" s="8">
        <f>T16</f>
        <v>0.30078547362212316</v>
      </c>
      <c r="T27" s="8">
        <f>T17</f>
        <v>0.59379605434873683</v>
      </c>
    </row>
    <row r="28" spans="2:20" hidden="1" x14ac:dyDescent="0.2"/>
    <row r="29" spans="2:20" hidden="1" x14ac:dyDescent="0.2">
      <c r="C29" s="8">
        <f>C25/C27</f>
        <v>3.0125284738041</v>
      </c>
      <c r="D29" s="8">
        <f t="shared" ref="D29:E29" si="33">D25/D27</f>
        <v>3.0492040520984083</v>
      </c>
      <c r="E29" s="8">
        <f t="shared" si="33"/>
        <v>3.1003717472118959</v>
      </c>
      <c r="H29" s="8">
        <f>H25/H27</f>
        <v>3.0011928429423458</v>
      </c>
      <c r="I29" s="8">
        <f t="shared" ref="I29:J29" si="34">I25/I27</f>
        <v>3.0035236081747705</v>
      </c>
      <c r="J29" s="8">
        <f t="shared" si="34"/>
        <v>3.0063718140929536</v>
      </c>
      <c r="M29" s="8">
        <f>M25/M27</f>
        <v>3.0064724919093853</v>
      </c>
      <c r="N29" s="8">
        <f t="shared" ref="N29:O29" si="35">N25/N27</f>
        <v>3.0185873605947955</v>
      </c>
      <c r="O29" s="8">
        <f t="shared" si="35"/>
        <v>3.0299145299145298</v>
      </c>
      <c r="R29" s="8">
        <f>R25/R27</f>
        <v>3.0061015921660608</v>
      </c>
      <c r="S29" s="8">
        <f t="shared" ref="S29:T29" si="36">S25/S27</f>
        <v>3.0195404870225429</v>
      </c>
      <c r="T29" s="8">
        <f t="shared" si="36"/>
        <v>3.0353713021785209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3.0540347577048017</v>
      </c>
      <c r="I31" s="8" t="s">
        <v>20</v>
      </c>
      <c r="J31" s="8">
        <f>AVERAGE(H29:J29)</f>
        <v>3.0036960884033568</v>
      </c>
      <c r="N31" s="8" t="s">
        <v>20</v>
      </c>
      <c r="O31" s="8">
        <f>AVERAGE(M29:O29)</f>
        <v>3.0183247941395699</v>
      </c>
      <c r="S31" s="8" t="s">
        <v>20</v>
      </c>
      <c r="T31" s="8">
        <f>AVERAGE(R29:T29)</f>
        <v>3.0203377937890417</v>
      </c>
    </row>
    <row r="32" spans="2:20" hidden="1" x14ac:dyDescent="0.2">
      <c r="D32" s="8" t="s">
        <v>21</v>
      </c>
      <c r="E32" s="8">
        <f>(E31-3)/2</f>
        <v>2.7017378852400853E-2</v>
      </c>
      <c r="I32" s="8" t="s">
        <v>21</v>
      </c>
      <c r="J32" s="8">
        <f>(J31-3)/2</f>
        <v>1.8480442016783893E-3</v>
      </c>
      <c r="N32" s="8" t="s">
        <v>21</v>
      </c>
      <c r="O32" s="8">
        <f>(O31-3)/2</f>
        <v>9.1623970697849444E-3</v>
      </c>
      <c r="S32" s="8" t="s">
        <v>21</v>
      </c>
      <c r="T32" s="8">
        <f>(T31-3)/2</f>
        <v>1.0168896894520829E-2</v>
      </c>
    </row>
    <row r="33" spans="4:20" s="117" customFormat="1" x14ac:dyDescent="0.2">
      <c r="D33" s="47" t="s">
        <v>22</v>
      </c>
      <c r="E33" s="47">
        <f>E32/0.52</f>
        <v>5.1956497793078558E-2</v>
      </c>
      <c r="I33" s="47" t="s">
        <v>22</v>
      </c>
      <c r="J33" s="47">
        <f>J32/0.52</f>
        <v>3.5539311570738255E-3</v>
      </c>
      <c r="N33" s="47" t="s">
        <v>22</v>
      </c>
      <c r="O33" s="47">
        <f>O32/0.52</f>
        <v>1.7619994364971046E-2</v>
      </c>
      <c r="S33" s="47" t="s">
        <v>22</v>
      </c>
      <c r="T33" s="47">
        <f>T32/0.52</f>
        <v>1.9555570951001595E-2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6429-2557-AE4B-8701-8E5D46BB3A11}">
  <dimension ref="B3:T33"/>
  <sheetViews>
    <sheetView topLeftCell="G1" zoomScale="75" zoomScaleNormal="50" workbookViewId="0">
      <selection activeCell="T33" sqref="T33"/>
    </sheetView>
  </sheetViews>
  <sheetFormatPr baseColWidth="10" defaultColWidth="8.83203125" defaultRowHeight="15" x14ac:dyDescent="0.2"/>
  <cols>
    <col min="2" max="2" width="22.1640625" customWidth="1"/>
    <col min="3" max="3" width="26.83203125" customWidth="1"/>
    <col min="4" max="5" width="27.33203125" customWidth="1"/>
    <col min="7" max="7" width="20.6640625" customWidth="1"/>
    <col min="8" max="8" width="20.33203125" customWidth="1"/>
    <col min="9" max="9" width="21" customWidth="1"/>
    <col min="10" max="10" width="19.6640625" customWidth="1"/>
    <col min="12" max="12" width="19.5" customWidth="1"/>
    <col min="13" max="13" width="18.33203125" customWidth="1"/>
    <col min="14" max="14" width="21.6640625" customWidth="1"/>
    <col min="15" max="15" width="19.33203125" customWidth="1"/>
    <col min="17" max="17" width="19.83203125" customWidth="1"/>
    <col min="18" max="18" width="21.83203125" customWidth="1"/>
    <col min="19" max="19" width="24.5" customWidth="1"/>
    <col min="20" max="20" width="20.83203125" customWidth="1"/>
  </cols>
  <sheetData>
    <row r="3" spans="2:20" ht="106.25" customHeight="1" x14ac:dyDescent="0.2">
      <c r="B3" s="8"/>
      <c r="C3" s="17" t="str">
        <f>B4</f>
        <v>Automatski obrađuje upite, generira odgovore, analizira podatke i smanjuje potrebu za ručnim objašnjavanjem propisa i procedura.</v>
      </c>
      <c r="D3" s="17" t="str">
        <f>B5</f>
        <v>Automatizira procese poput učitavanja dokumentacije, pregleda statusa i preuzimanja certifikata, čime uklanja veliku količinu ručnog administrativnog rada.</v>
      </c>
      <c r="E3" s="17" t="str">
        <f>B6</f>
        <v>Automatizirano slanje materijala, potvrda o sudjelovanju i praćenje napretka kroz LMS sustav.</v>
      </c>
      <c r="G3" s="8"/>
      <c r="H3" s="17" t="str">
        <f>G4</f>
        <v>Automatski obrađuje upite, generira odgovore, analizira podatke i smanjuje potrebu za ručnim objašnjavanjem propisa i procedura.</v>
      </c>
      <c r="I3" s="17" t="str">
        <f>G5</f>
        <v>Automatizira procese poput učitavanja dokumentacije, pregleda statusa i preuzimanja certifikata, čime uklanja veliku količinu ručnog administrativnog rada.</v>
      </c>
      <c r="J3" s="17" t="str">
        <f>G6</f>
        <v>Automatizirano slanje materijala, potvrda o sudjelovanju i praćenje napretka kroz LMS sustav.</v>
      </c>
      <c r="L3" s="8"/>
      <c r="M3" s="17" t="str">
        <f>L4</f>
        <v>Automatski obrađuje upite, generira odgovore, analizira podatke i smanjuje potrebu za ručnim objašnjavanjem propisa i procedura.</v>
      </c>
      <c r="N3" s="17" t="str">
        <f>L5</f>
        <v>Automatizira procese poput učitavanja dokumentacije, pregleda statusa i preuzimanja certifikata, čime uklanja veliku količinu ručnog administrativnog rada.</v>
      </c>
      <c r="O3" s="17" t="str">
        <f>L6</f>
        <v>Automatizirano slanje materijala, potvrda o sudjelovanju i praćenje napretka kroz LMS sustav.</v>
      </c>
      <c r="Q3" s="8"/>
      <c r="R3" s="17" t="str">
        <f>Q4</f>
        <v>Automatski obrađuje upite, generira odgovore, analizira podatke i smanjuje potrebu za ručnim objašnjavanjem propisa i procedura.</v>
      </c>
      <c r="S3" s="17" t="str">
        <f>Q5</f>
        <v>Automatizira procese poput učitavanja dokumentacije, pregleda statusa i preuzimanja certifikata, čime uklanja veliku količinu ručnog administrativnog rada.</v>
      </c>
      <c r="T3" s="17" t="str">
        <f>Q6</f>
        <v>Automatizirano slanje materijala, potvrda o sudjelovanju i praćenje napretka kroz LMS sustav.</v>
      </c>
    </row>
    <row r="4" spans="2:20" ht="100.75" customHeight="1" x14ac:dyDescent="0.2">
      <c r="B4" s="18" t="s">
        <v>29</v>
      </c>
      <c r="C4" s="8">
        <v>1</v>
      </c>
      <c r="D4" s="8">
        <v>2</v>
      </c>
      <c r="E4" s="8">
        <v>3</v>
      </c>
      <c r="G4" s="17" t="str">
        <f>B4</f>
        <v>Automatski obrađuje upite, generira odgovore, analizira podatke i smanjuje potrebu za ručnim objašnjavanjem propisa i procedura.</v>
      </c>
      <c r="H4" s="8">
        <v>1</v>
      </c>
      <c r="I4" s="8">
        <v>3</v>
      </c>
      <c r="J4" s="8">
        <v>5</v>
      </c>
      <c r="L4" s="19" t="str">
        <f>G4</f>
        <v>Automatski obrađuje upite, generira odgovore, analizira podatke i smanjuje potrebu za ručnim objašnjavanjem propisa i procedura.</v>
      </c>
      <c r="M4" s="8">
        <v>1</v>
      </c>
      <c r="N4" s="8">
        <v>2</v>
      </c>
      <c r="O4" s="8">
        <v>4</v>
      </c>
      <c r="Q4" s="17" t="str">
        <f>L4</f>
        <v>Automatski obrađuje upite, generira odgovore, analizira podatke i smanjuje potrebu za ručnim objašnjavanjem propisa i procedura.</v>
      </c>
      <c r="R4" s="8">
        <f>GEOMEAN(C4,H4,M4)</f>
        <v>1</v>
      </c>
      <c r="S4" s="8">
        <f t="shared" ref="S4:T6" si="0">GEOMEAN(D4,I4,N4)</f>
        <v>2.2894284851066637</v>
      </c>
      <c r="T4" s="8">
        <f t="shared" si="0"/>
        <v>3.9148676411688634</v>
      </c>
    </row>
    <row r="5" spans="2:20" ht="134.5" customHeight="1" x14ac:dyDescent="0.2">
      <c r="B5" s="18" t="s">
        <v>38</v>
      </c>
      <c r="C5" s="8">
        <f>1/2</f>
        <v>0.5</v>
      </c>
      <c r="D5" s="8">
        <v>1</v>
      </c>
      <c r="E5" s="8">
        <v>2</v>
      </c>
      <c r="G5" s="17" t="str">
        <f t="shared" ref="G5:G6" si="1">B5</f>
        <v>Automatizira procese poput učitavanja dokumentacije, pregleda statusa i preuzimanja certifikata, čime uklanja veliku količinu ručnog administrativnog rada.</v>
      </c>
      <c r="H5" s="8">
        <f>1/3</f>
        <v>0.33333333333333331</v>
      </c>
      <c r="I5" s="8">
        <v>1</v>
      </c>
      <c r="J5" s="8">
        <v>2</v>
      </c>
      <c r="L5" s="19" t="str">
        <f t="shared" ref="L5:L6" si="2">G5</f>
        <v>Automatizira procese poput učitavanja dokumentacije, pregleda statusa i preuzimanja certifikata, čime uklanja veliku količinu ručnog administrativnog rada.</v>
      </c>
      <c r="M5" s="8">
        <f>1/2</f>
        <v>0.5</v>
      </c>
      <c r="N5" s="8">
        <v>1</v>
      </c>
      <c r="O5" s="8">
        <v>3</v>
      </c>
      <c r="Q5" s="17" t="str">
        <f t="shared" ref="Q5:Q6" si="3">L5</f>
        <v>Automatizira procese poput učitavanja dokumentacije, pregleda statusa i preuzimanja certifikata, čime uklanja veliku količinu ručnog administrativnog rada.</v>
      </c>
      <c r="R5" s="8">
        <f t="shared" ref="R5:R6" si="4">GEOMEAN(C5,H5,M5)</f>
        <v>0.43679023236814946</v>
      </c>
      <c r="S5" s="8">
        <f t="shared" si="0"/>
        <v>1</v>
      </c>
      <c r="T5" s="8">
        <f t="shared" si="0"/>
        <v>2.2894284851066637</v>
      </c>
    </row>
    <row r="6" spans="2:20" ht="114" customHeight="1" x14ac:dyDescent="0.2">
      <c r="B6" s="18" t="s">
        <v>47</v>
      </c>
      <c r="C6" s="8">
        <f>1/3</f>
        <v>0.33333333333333331</v>
      </c>
      <c r="D6" s="8">
        <f>1/2</f>
        <v>0.5</v>
      </c>
      <c r="E6" s="8">
        <v>1</v>
      </c>
      <c r="G6" s="17" t="str">
        <f t="shared" si="1"/>
        <v>Automatizirano slanje materijala, potvrda o sudjelovanju i praćenje napretka kroz LMS sustav.</v>
      </c>
      <c r="H6" s="8">
        <f>1/5</f>
        <v>0.2</v>
      </c>
      <c r="I6" s="8">
        <f>1/2</f>
        <v>0.5</v>
      </c>
      <c r="J6" s="8">
        <v>1</v>
      </c>
      <c r="L6" s="19" t="str">
        <f t="shared" si="2"/>
        <v>Automatizirano slanje materijala, potvrda o sudjelovanju i praćenje napretka kroz LMS sustav.</v>
      </c>
      <c r="M6" s="8">
        <f>1/4</f>
        <v>0.25</v>
      </c>
      <c r="N6" s="8">
        <f>1/3</f>
        <v>0.33333333333333331</v>
      </c>
      <c r="O6" s="8">
        <v>1</v>
      </c>
      <c r="Q6" s="17" t="str">
        <f t="shared" si="3"/>
        <v>Automatizirano slanje materijala, potvrda o sudjelovanju i praćenje napretka kroz LMS sustav.</v>
      </c>
      <c r="R6" s="8">
        <f t="shared" si="4"/>
        <v>0.2554364774645177</v>
      </c>
      <c r="S6" s="8">
        <f t="shared" si="0"/>
        <v>0.43679023236814946</v>
      </c>
      <c r="T6" s="8">
        <f t="shared" si="0"/>
        <v>1</v>
      </c>
    </row>
    <row r="8" spans="2:20" hidden="1" x14ac:dyDescent="0.2">
      <c r="C8" s="8">
        <f>SUM(C4:C6)</f>
        <v>1.8333333333333333</v>
      </c>
      <c r="D8" s="8">
        <f t="shared" ref="D8:E8" si="5">SUM(D4:D6)</f>
        <v>3.5</v>
      </c>
      <c r="E8" s="8">
        <f t="shared" si="5"/>
        <v>6</v>
      </c>
      <c r="H8" s="8">
        <f>SUM(H4:H6)</f>
        <v>1.5333333333333332</v>
      </c>
      <c r="I8" s="8">
        <f t="shared" ref="I8:J8" si="6">SUM(I4:I6)</f>
        <v>4.5</v>
      </c>
      <c r="J8" s="8">
        <f t="shared" si="6"/>
        <v>8</v>
      </c>
      <c r="M8" s="8">
        <f>SUM(M4:M6)</f>
        <v>1.75</v>
      </c>
      <c r="N8" s="8">
        <f t="shared" ref="N8:O8" si="7">SUM(N4:N6)</f>
        <v>3.3333333333333335</v>
      </c>
      <c r="O8" s="8">
        <f t="shared" si="7"/>
        <v>8</v>
      </c>
      <c r="R8" s="8">
        <f>SUM(R4:R6)</f>
        <v>1.6922267098326671</v>
      </c>
      <c r="S8" s="8">
        <f t="shared" ref="S8:T8" si="8">SUM(S4:S6)</f>
        <v>3.7262187174748131</v>
      </c>
      <c r="T8" s="8">
        <f t="shared" si="8"/>
        <v>7.2042961262755272</v>
      </c>
    </row>
    <row r="9" spans="2:20" hidden="1" x14ac:dyDescent="0.2"/>
    <row r="10" spans="2:20" hidden="1" x14ac:dyDescent="0.2"/>
    <row r="11" spans="2:20" hidden="1" x14ac:dyDescent="0.2">
      <c r="C11" s="8">
        <f>C4/C$8</f>
        <v>0.54545454545454553</v>
      </c>
      <c r="D11" s="8">
        <f>D4/D$8</f>
        <v>0.5714285714285714</v>
      </c>
      <c r="E11" s="8">
        <f>E4/E$8</f>
        <v>0.5</v>
      </c>
      <c r="H11" s="8">
        <f>H4/H$8</f>
        <v>0.65217391304347827</v>
      </c>
      <c r="I11" s="8">
        <f>I4/I$8</f>
        <v>0.66666666666666663</v>
      </c>
      <c r="J11" s="8">
        <f>J4/J$8</f>
        <v>0.625</v>
      </c>
      <c r="M11" s="8">
        <f>M4/M$8</f>
        <v>0.5714285714285714</v>
      </c>
      <c r="N11" s="8">
        <f>N4/N$8</f>
        <v>0.6</v>
      </c>
      <c r="O11" s="8">
        <f>O4/O$8</f>
        <v>0.5</v>
      </c>
      <c r="R11" s="8">
        <f>R4/R$8</f>
        <v>0.59093736920089346</v>
      </c>
      <c r="S11" s="8">
        <f>S4/S$8</f>
        <v>0.61441065559838248</v>
      </c>
      <c r="T11" s="8">
        <f>T4/T$8</f>
        <v>0.54340737423195973</v>
      </c>
    </row>
    <row r="12" spans="2:20" hidden="1" x14ac:dyDescent="0.2">
      <c r="C12" s="8">
        <f t="shared" ref="C12:E13" si="9">C5/C$8</f>
        <v>0.27272727272727276</v>
      </c>
      <c r="D12" s="8">
        <f t="shared" si="9"/>
        <v>0.2857142857142857</v>
      </c>
      <c r="E12" s="8">
        <f t="shared" si="9"/>
        <v>0.33333333333333331</v>
      </c>
      <c r="H12" s="8">
        <f t="shared" ref="H12:J13" si="10">H5/H$8</f>
        <v>0.21739130434782608</v>
      </c>
      <c r="I12" s="8">
        <f t="shared" si="10"/>
        <v>0.22222222222222221</v>
      </c>
      <c r="J12" s="8">
        <f t="shared" si="10"/>
        <v>0.25</v>
      </c>
      <c r="M12" s="8">
        <f t="shared" ref="M12:O13" si="11">M5/M$8</f>
        <v>0.2857142857142857</v>
      </c>
      <c r="N12" s="8">
        <f t="shared" si="11"/>
        <v>0.3</v>
      </c>
      <c r="O12" s="8">
        <f t="shared" si="11"/>
        <v>0.375</v>
      </c>
      <c r="R12" s="8">
        <f t="shared" ref="R12:T13" si="12">R5/R$8</f>
        <v>0.25811567080828118</v>
      </c>
      <c r="S12" s="8">
        <f t="shared" si="12"/>
        <v>0.26836857302828449</v>
      </c>
      <c r="T12" s="8">
        <f t="shared" si="12"/>
        <v>0.31778656026598551</v>
      </c>
    </row>
    <row r="13" spans="2:20" hidden="1" x14ac:dyDescent="0.2">
      <c r="C13" s="8">
        <f t="shared" si="9"/>
        <v>0.18181818181818182</v>
      </c>
      <c r="D13" s="8">
        <f t="shared" si="9"/>
        <v>0.14285714285714285</v>
      </c>
      <c r="E13" s="8">
        <f t="shared" si="9"/>
        <v>0.16666666666666666</v>
      </c>
      <c r="H13" s="8">
        <f t="shared" si="10"/>
        <v>0.13043478260869568</v>
      </c>
      <c r="I13" s="8">
        <f t="shared" si="10"/>
        <v>0.1111111111111111</v>
      </c>
      <c r="J13" s="8">
        <f t="shared" si="10"/>
        <v>0.125</v>
      </c>
      <c r="M13" s="8">
        <f t="shared" si="11"/>
        <v>0.14285714285714285</v>
      </c>
      <c r="N13" s="8">
        <f t="shared" si="11"/>
        <v>9.9999999999999992E-2</v>
      </c>
      <c r="O13" s="8">
        <f t="shared" si="11"/>
        <v>0.125</v>
      </c>
      <c r="R13" s="8">
        <f t="shared" si="12"/>
        <v>0.15094695999082539</v>
      </c>
      <c r="S13" s="8">
        <f t="shared" si="12"/>
        <v>0.11722077137333307</v>
      </c>
      <c r="T13" s="8">
        <f t="shared" si="12"/>
        <v>0.13880606550205474</v>
      </c>
    </row>
    <row r="14" spans="2:20" hidden="1" x14ac:dyDescent="0.2"/>
    <row r="15" spans="2:20" x14ac:dyDescent="0.2">
      <c r="D15" s="8" t="str">
        <f>B4</f>
        <v>Automatski obrađuje upite, generira odgovore, analizira podatke i smanjuje potrebu za ručnim objašnjavanjem propisa i procedura.</v>
      </c>
      <c r="E15" s="8">
        <f>AVERAGE(C11:E11)</f>
        <v>0.53896103896103897</v>
      </c>
      <c r="I15" s="8" t="str">
        <f>G4</f>
        <v>Automatski obrađuje upite, generira odgovore, analizira podatke i smanjuje potrebu za ručnim objašnjavanjem propisa i procedura.</v>
      </c>
      <c r="J15" s="8">
        <f>AVERAGE(H11:J11)</f>
        <v>0.64794685990338163</v>
      </c>
      <c r="N15" s="8" t="str">
        <f>L4</f>
        <v>Automatski obrađuje upite, generira odgovore, analizira podatke i smanjuje potrebu za ručnim objašnjavanjem propisa i procedura.</v>
      </c>
      <c r="O15" s="8">
        <f>AVERAGE(M11:O11)</f>
        <v>0.55714285714285705</v>
      </c>
      <c r="S15" s="8" t="str">
        <f>Q4</f>
        <v>Automatski obrađuje upite, generira odgovore, analizira podatke i smanjuje potrebu za ručnim objašnjavanjem propisa i procedura.</v>
      </c>
      <c r="T15" s="11">
        <f>AVERAGE(R11:T11)</f>
        <v>0.58291846634374522</v>
      </c>
    </row>
    <row r="16" spans="2:20" x14ac:dyDescent="0.2">
      <c r="D16" s="8" t="str">
        <f t="shared" ref="D16:D17" si="13">B5</f>
        <v>Automatizira procese poput učitavanja dokumentacije, pregleda statusa i preuzimanja certifikata, čime uklanja veliku količinu ručnog administrativnog rada.</v>
      </c>
      <c r="E16" s="8">
        <f t="shared" ref="E16:E17" si="14">AVERAGE(C12:E12)</f>
        <v>0.29725829725829728</v>
      </c>
      <c r="I16" s="8" t="str">
        <f t="shared" ref="I16:I17" si="15">G5</f>
        <v>Automatizira procese poput učitavanja dokumentacije, pregleda statusa i preuzimanja certifikata, čime uklanja veliku količinu ručnog administrativnog rada.</v>
      </c>
      <c r="J16" s="8">
        <f t="shared" ref="J16:J17" si="16">AVERAGE(H12:J12)</f>
        <v>0.22987117552334943</v>
      </c>
      <c r="N16" s="8" t="str">
        <f t="shared" ref="N16:N17" si="17">L5</f>
        <v>Automatizira procese poput učitavanja dokumentacije, pregleda statusa i preuzimanja certifikata, čime uklanja veliku količinu ručnog administrativnog rada.</v>
      </c>
      <c r="O16" s="8">
        <f t="shared" ref="O16:O17" si="18">AVERAGE(M12:O12)</f>
        <v>0.32023809523809521</v>
      </c>
      <c r="S16" s="8" t="str">
        <f t="shared" ref="S16:S17" si="19">Q5</f>
        <v>Automatizira procese poput učitavanja dokumentacije, pregleda statusa i preuzimanja certifikata, čime uklanja veliku količinu ručnog administrativnog rada.</v>
      </c>
      <c r="T16" s="11">
        <f t="shared" ref="T16:T17" si="20">AVERAGE(R12:T12)</f>
        <v>0.28142360136751704</v>
      </c>
    </row>
    <row r="17" spans="2:20" x14ac:dyDescent="0.2">
      <c r="D17" s="8" t="str">
        <f t="shared" si="13"/>
        <v>Automatizirano slanje materijala, potvrda o sudjelovanju i praćenje napretka kroz LMS sustav.</v>
      </c>
      <c r="E17" s="8">
        <f t="shared" si="14"/>
        <v>0.16378066378066378</v>
      </c>
      <c r="I17" s="8" t="str">
        <f t="shared" si="15"/>
        <v>Automatizirano slanje materijala, potvrda o sudjelovanju i praćenje napretka kroz LMS sustav.</v>
      </c>
      <c r="J17" s="8">
        <f t="shared" si="16"/>
        <v>0.12218196457326892</v>
      </c>
      <c r="N17" s="8" t="str">
        <f t="shared" si="17"/>
        <v>Automatizirano slanje materijala, potvrda o sudjelovanju i praćenje napretka kroz LMS sustav.</v>
      </c>
      <c r="O17" s="8">
        <f t="shared" si="18"/>
        <v>0.12261904761904761</v>
      </c>
      <c r="S17" s="8" t="str">
        <f t="shared" si="19"/>
        <v>Automatizirano slanje materijala, potvrda o sudjelovanju i praćenje napretka kroz LMS sustav.</v>
      </c>
      <c r="T17" s="11">
        <f t="shared" si="20"/>
        <v>0.13565793228873771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0.53896103896103897</v>
      </c>
      <c r="D21" s="8">
        <f>D4*E$16</f>
        <v>0.59451659451659455</v>
      </c>
      <c r="E21" s="8">
        <f>E4*E$17</f>
        <v>0.4913419913419913</v>
      </c>
      <c r="H21" s="8">
        <f>H4*J$15</f>
        <v>0.64794685990338163</v>
      </c>
      <c r="I21" s="8">
        <f>I4*J$16</f>
        <v>0.68961352657004826</v>
      </c>
      <c r="J21" s="8">
        <f>J4*J$17</f>
        <v>0.61090982286634465</v>
      </c>
      <c r="M21" s="8">
        <f>M4*O$15</f>
        <v>0.55714285714285705</v>
      </c>
      <c r="N21" s="8">
        <f>N4*O$16</f>
        <v>0.64047619047619042</v>
      </c>
      <c r="O21" s="8">
        <f>O4*O$17</f>
        <v>0.49047619047619045</v>
      </c>
      <c r="R21" s="8">
        <f>R4*T$15</f>
        <v>0.58291846634374522</v>
      </c>
      <c r="S21" s="8">
        <f>S4*T$16</f>
        <v>0.64429920935209617</v>
      </c>
      <c r="T21" s="8">
        <f>T4*T$17</f>
        <v>0.53108284938505601</v>
      </c>
    </row>
    <row r="22" spans="2:20" hidden="1" x14ac:dyDescent="0.2">
      <c r="C22" s="8">
        <f t="shared" ref="C22:C23" si="21">C5*E$15</f>
        <v>0.26948051948051949</v>
      </c>
      <c r="D22" s="8">
        <f t="shared" ref="D22:D23" si="22">D5*E$16</f>
        <v>0.29725829725829728</v>
      </c>
      <c r="E22" s="8">
        <f t="shared" ref="E22:E23" si="23">E5*E$17</f>
        <v>0.32756132756132755</v>
      </c>
      <c r="H22" s="8">
        <f t="shared" ref="H22:H23" si="24">H5*J$15</f>
        <v>0.21598228663446054</v>
      </c>
      <c r="I22" s="8">
        <f t="shared" ref="I22:I23" si="25">I5*J$16</f>
        <v>0.22987117552334943</v>
      </c>
      <c r="J22" s="8">
        <f t="shared" ref="J22:J23" si="26">J5*J$17</f>
        <v>0.24436392914653784</v>
      </c>
      <c r="M22" s="8">
        <f t="shared" ref="M22:M23" si="27">M5*O$15</f>
        <v>0.27857142857142853</v>
      </c>
      <c r="N22" s="8">
        <f t="shared" ref="N22:N23" si="28">N5*O$16</f>
        <v>0.32023809523809521</v>
      </c>
      <c r="O22" s="8">
        <f t="shared" ref="O22:O23" si="29">O5*O$17</f>
        <v>0.36785714285714283</v>
      </c>
      <c r="R22" s="8">
        <f t="shared" ref="R22:R23" si="30">R5*T$15</f>
        <v>0.2546130923659698</v>
      </c>
      <c r="S22" s="8">
        <f t="shared" ref="S22:S23" si="31">S5*T$16</f>
        <v>0.28142360136751704</v>
      </c>
      <c r="T22" s="8">
        <f t="shared" ref="T22:T23" si="32">T5*T$17</f>
        <v>0.31057913441250712</v>
      </c>
    </row>
    <row r="23" spans="2:20" hidden="1" x14ac:dyDescent="0.2">
      <c r="C23" s="8">
        <f t="shared" si="21"/>
        <v>0.17965367965367965</v>
      </c>
      <c r="D23" s="8">
        <f t="shared" si="22"/>
        <v>0.14862914862914864</v>
      </c>
      <c r="E23" s="8">
        <f t="shared" si="23"/>
        <v>0.16378066378066378</v>
      </c>
      <c r="H23" s="8">
        <f t="shared" si="24"/>
        <v>0.12958937198067633</v>
      </c>
      <c r="I23" s="8">
        <f t="shared" si="25"/>
        <v>0.11493558776167472</v>
      </c>
      <c r="J23" s="8">
        <f t="shared" si="26"/>
        <v>0.12218196457326892</v>
      </c>
      <c r="M23" s="8">
        <f t="shared" si="27"/>
        <v>0.13928571428571426</v>
      </c>
      <c r="N23" s="8">
        <f t="shared" si="28"/>
        <v>0.10674603174603173</v>
      </c>
      <c r="O23" s="8">
        <f t="shared" si="29"/>
        <v>0.12261904761904761</v>
      </c>
      <c r="R23" s="8">
        <f t="shared" si="30"/>
        <v>0.14889863969186529</v>
      </c>
      <c r="S23" s="8">
        <f t="shared" si="31"/>
        <v>0.12292308023519923</v>
      </c>
      <c r="T23" s="8">
        <f t="shared" si="32"/>
        <v>0.13565793228873771</v>
      </c>
    </row>
    <row r="24" spans="2:20" hidden="1" x14ac:dyDescent="0.2"/>
    <row r="25" spans="2:20" hidden="1" x14ac:dyDescent="0.2">
      <c r="C25" s="8">
        <f>SUM(C21:E21)</f>
        <v>1.6248196248196249</v>
      </c>
      <c r="D25" s="8">
        <f>SUM(C22:E22)</f>
        <v>0.89430014430014437</v>
      </c>
      <c r="E25" s="8">
        <f>SUM(C23:E23)</f>
        <v>0.49206349206349209</v>
      </c>
      <c r="H25" s="8">
        <f>SUM(H21:J21)</f>
        <v>1.9484702093397748</v>
      </c>
      <c r="I25" s="8">
        <f>SUM(H22:J22)</f>
        <v>0.69021739130434778</v>
      </c>
      <c r="J25" s="8">
        <f>SUM(H23:J23)</f>
        <v>0.36670692431561996</v>
      </c>
      <c r="M25" s="8">
        <f>SUM(M21:O21)</f>
        <v>1.6880952380952379</v>
      </c>
      <c r="N25" s="8">
        <f>SUM(M22:O22)</f>
        <v>0.96666666666666656</v>
      </c>
      <c r="O25" s="8">
        <f>SUM(M23:O23)</f>
        <v>0.36865079365079362</v>
      </c>
      <c r="R25" s="8">
        <f>SUM(R21:T21)</f>
        <v>1.7583005250808976</v>
      </c>
      <c r="S25" s="8">
        <f>SUM(R22:T22)</f>
        <v>0.8466158281459939</v>
      </c>
      <c r="T25" s="8">
        <f>SUM(R23:T23)</f>
        <v>0.40747965221580218</v>
      </c>
    </row>
    <row r="26" spans="2:20" hidden="1" x14ac:dyDescent="0.2"/>
    <row r="27" spans="2:20" hidden="1" x14ac:dyDescent="0.2">
      <c r="C27" s="8">
        <f>E15</f>
        <v>0.53896103896103897</v>
      </c>
      <c r="D27" s="8">
        <f>E16</f>
        <v>0.29725829725829728</v>
      </c>
      <c r="E27" s="8">
        <f>E17</f>
        <v>0.16378066378066378</v>
      </c>
      <c r="H27" s="8">
        <f>J15</f>
        <v>0.64794685990338163</v>
      </c>
      <c r="I27" s="8">
        <f>J16</f>
        <v>0.22987117552334943</v>
      </c>
      <c r="J27" s="8">
        <f>J17</f>
        <v>0.12218196457326892</v>
      </c>
      <c r="M27" s="8">
        <f>O15</f>
        <v>0.55714285714285705</v>
      </c>
      <c r="N27" s="8">
        <f>O16</f>
        <v>0.32023809523809521</v>
      </c>
      <c r="O27" s="8">
        <f>O17</f>
        <v>0.12261904761904761</v>
      </c>
      <c r="R27" s="8">
        <f>T15</f>
        <v>0.58291846634374522</v>
      </c>
      <c r="S27" s="8">
        <f>T16</f>
        <v>0.28142360136751704</v>
      </c>
      <c r="T27" s="8">
        <f>T17</f>
        <v>0.13565793228873771</v>
      </c>
    </row>
    <row r="28" spans="2:20" hidden="1" x14ac:dyDescent="0.2"/>
    <row r="29" spans="2:20" hidden="1" x14ac:dyDescent="0.2">
      <c r="C29" s="8">
        <f>C25/C27</f>
        <v>3.0147255689424366</v>
      </c>
      <c r="D29" s="8">
        <f t="shared" ref="D29:E29" si="33">D25/D27</f>
        <v>3.008495145631068</v>
      </c>
      <c r="E29" s="8">
        <f t="shared" si="33"/>
        <v>3.0044052863436126</v>
      </c>
      <c r="H29" s="8">
        <f>H25/H27</f>
        <v>3.0071450761105938</v>
      </c>
      <c r="I29" s="8">
        <f t="shared" ref="I29:J29" si="34">I25/I27</f>
        <v>3.0026269702276704</v>
      </c>
      <c r="J29" s="8">
        <f t="shared" si="34"/>
        <v>3.0013179571663922</v>
      </c>
      <c r="M29" s="8">
        <f>M25/M27</f>
        <v>3.0299145299145298</v>
      </c>
      <c r="N29" s="8">
        <f t="shared" ref="N29:O29" si="35">N25/N27</f>
        <v>3.0185873605947955</v>
      </c>
      <c r="O29" s="8">
        <f t="shared" si="35"/>
        <v>3.0064724919093848</v>
      </c>
      <c r="R29" s="8">
        <f>R25/R27</f>
        <v>3.0163747189371648</v>
      </c>
      <c r="S29" s="8">
        <f t="shared" ref="S29:T29" si="36">S25/S27</f>
        <v>3.0083327198999927</v>
      </c>
      <c r="T29" s="8">
        <f t="shared" si="36"/>
        <v>3.0037289035816377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3.0092086669723721</v>
      </c>
      <c r="I31" s="8" t="s">
        <v>20</v>
      </c>
      <c r="J31" s="8">
        <f>AVERAGE(H29:J29)</f>
        <v>3.0036966678348858</v>
      </c>
      <c r="N31" s="8" t="s">
        <v>20</v>
      </c>
      <c r="O31" s="8">
        <f>AVERAGE(M29:O29)</f>
        <v>3.0183247941395699</v>
      </c>
      <c r="S31" s="8" t="s">
        <v>20</v>
      </c>
      <c r="T31" s="8">
        <f>AVERAGE(R29:T29)</f>
        <v>3.0094787808062655</v>
      </c>
    </row>
    <row r="32" spans="2:20" hidden="1" x14ac:dyDescent="0.2">
      <c r="D32" s="8" t="s">
        <v>21</v>
      </c>
      <c r="E32" s="8">
        <f>(E31-3)/2</f>
        <v>4.6043334861860519E-3</v>
      </c>
      <c r="I32" s="8" t="s">
        <v>21</v>
      </c>
      <c r="J32" s="8">
        <f>(J31-3)/2</f>
        <v>1.8483339174428792E-3</v>
      </c>
      <c r="N32" s="8" t="s">
        <v>21</v>
      </c>
      <c r="O32" s="8">
        <f>(O31-3)/2</f>
        <v>9.1623970697849444E-3</v>
      </c>
      <c r="S32" s="8" t="s">
        <v>21</v>
      </c>
      <c r="T32" s="8">
        <f>(T31-3)/2</f>
        <v>4.7393904031327594E-3</v>
      </c>
    </row>
    <row r="33" spans="4:20" s="117" customFormat="1" x14ac:dyDescent="0.2">
      <c r="D33" s="47" t="s">
        <v>22</v>
      </c>
      <c r="E33" s="47">
        <f>E32/0.52</f>
        <v>8.8544874734347145E-3</v>
      </c>
      <c r="I33" s="47" t="s">
        <v>22</v>
      </c>
      <c r="J33" s="47">
        <f>J32/0.52</f>
        <v>3.5544883027747677E-3</v>
      </c>
      <c r="N33" s="47" t="s">
        <v>22</v>
      </c>
      <c r="O33" s="47">
        <f>O32/0.52</f>
        <v>1.7619994364971046E-2</v>
      </c>
      <c r="S33" s="47" t="s">
        <v>22</v>
      </c>
      <c r="T33" s="47">
        <f>T32/0.52</f>
        <v>9.1142123137168442E-3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1E0F-3F66-F043-8D9C-6272D7300526}">
  <dimension ref="B3:T33"/>
  <sheetViews>
    <sheetView workbookViewId="0">
      <selection activeCell="T17" sqref="T17"/>
    </sheetView>
  </sheetViews>
  <sheetFormatPr baseColWidth="10" defaultColWidth="8.83203125" defaultRowHeight="15" x14ac:dyDescent="0.2"/>
  <sheetData>
    <row r="3" spans="2:20" x14ac:dyDescent="0.2">
      <c r="B3" s="8"/>
      <c r="C3" s="8" t="str">
        <f>B4</f>
        <v>trošak impl</v>
      </c>
      <c r="D3" s="8" t="str">
        <f>B5</f>
        <v>trošak održ</v>
      </c>
      <c r="E3" s="8" t="str">
        <f>B6</f>
        <v>roi</v>
      </c>
      <c r="G3" s="8"/>
      <c r="H3" s="8" t="str">
        <f>G4</f>
        <v>trošak impl</v>
      </c>
      <c r="I3" s="8" t="str">
        <f>G5</f>
        <v>trošak održ</v>
      </c>
      <c r="J3" s="8" t="str">
        <f>G6</f>
        <v>roi</v>
      </c>
      <c r="L3" s="8"/>
      <c r="M3" s="8" t="str">
        <f>L4</f>
        <v>trošak impl</v>
      </c>
      <c r="N3" s="8" t="str">
        <f>L5</f>
        <v>trošak održ</v>
      </c>
      <c r="O3" s="8" t="str">
        <f>L6</f>
        <v>roi</v>
      </c>
      <c r="Q3" s="8"/>
      <c r="R3" s="8" t="str">
        <f>Q4</f>
        <v>trošak impl</v>
      </c>
      <c r="S3" s="8" t="str">
        <f>Q5</f>
        <v>trošak održ</v>
      </c>
      <c r="T3" s="8" t="str">
        <f>Q6</f>
        <v>roi</v>
      </c>
    </row>
    <row r="4" spans="2:20" x14ac:dyDescent="0.2">
      <c r="B4" s="9" t="s">
        <v>58</v>
      </c>
      <c r="C4" s="8">
        <v>1</v>
      </c>
      <c r="D4" s="8">
        <f>1/2</f>
        <v>0.5</v>
      </c>
      <c r="E4" s="8">
        <f>1/4</f>
        <v>0.25</v>
      </c>
      <c r="G4" s="8" t="str">
        <f>B4</f>
        <v>trošak impl</v>
      </c>
      <c r="H4" s="8">
        <v>1</v>
      </c>
      <c r="I4" s="8">
        <f>1/3</f>
        <v>0.33333333333333331</v>
      </c>
      <c r="J4" s="8">
        <f>1/6</f>
        <v>0.16666666666666666</v>
      </c>
      <c r="L4" s="8" t="str">
        <f>G4</f>
        <v>trošak impl</v>
      </c>
      <c r="M4" s="8">
        <v>1</v>
      </c>
      <c r="N4" s="8">
        <f>1/2</f>
        <v>0.5</v>
      </c>
      <c r="O4" s="8">
        <f>1/2</f>
        <v>0.5</v>
      </c>
      <c r="Q4" s="8" t="str">
        <f>L4</f>
        <v>trošak impl</v>
      </c>
      <c r="R4" s="8">
        <f>GEOMEAN(C4,H4,M4)</f>
        <v>1</v>
      </c>
      <c r="S4" s="8">
        <f t="shared" ref="S4:T6" si="0">GEOMEAN(D4,I4,N4)</f>
        <v>0.43679023236814946</v>
      </c>
      <c r="T4" s="8">
        <f t="shared" si="0"/>
        <v>0.27516060407455223</v>
      </c>
    </row>
    <row r="5" spans="2:20" x14ac:dyDescent="0.2">
      <c r="B5" s="9" t="s">
        <v>60</v>
      </c>
      <c r="C5" s="8">
        <v>2</v>
      </c>
      <c r="D5" s="8">
        <v>1</v>
      </c>
      <c r="E5" s="8">
        <f>1/3</f>
        <v>0.33333333333333331</v>
      </c>
      <c r="G5" s="8" t="str">
        <f t="shared" ref="G5:G6" si="1">B5</f>
        <v>trošak održ</v>
      </c>
      <c r="H5" s="8">
        <v>3</v>
      </c>
      <c r="I5" s="8">
        <v>1</v>
      </c>
      <c r="J5" s="8">
        <f>1/5</f>
        <v>0.2</v>
      </c>
      <c r="L5" s="8" t="str">
        <f t="shared" ref="L5:L6" si="2">G5</f>
        <v>trošak održ</v>
      </c>
      <c r="M5" s="8">
        <v>2</v>
      </c>
      <c r="N5" s="8">
        <v>1</v>
      </c>
      <c r="O5" s="8">
        <f>1/2</f>
        <v>0.5</v>
      </c>
      <c r="Q5" s="8" t="str">
        <f t="shared" ref="Q5:Q6" si="3">L5</f>
        <v>trošak održ</v>
      </c>
      <c r="R5" s="8">
        <f t="shared" ref="R5:R6" si="4">GEOMEAN(C5,H5,M5)</f>
        <v>2.2894284851066637</v>
      </c>
      <c r="S5" s="8">
        <f t="shared" si="0"/>
        <v>1</v>
      </c>
      <c r="T5" s="8">
        <f t="shared" si="0"/>
        <v>0.32182979486854324</v>
      </c>
    </row>
    <row r="6" spans="2:20" x14ac:dyDescent="0.2">
      <c r="B6" s="9" t="s">
        <v>59</v>
      </c>
      <c r="C6" s="8">
        <v>4</v>
      </c>
      <c r="D6" s="8">
        <v>3</v>
      </c>
      <c r="E6" s="8">
        <v>1</v>
      </c>
      <c r="G6" s="8" t="str">
        <f t="shared" si="1"/>
        <v>roi</v>
      </c>
      <c r="H6" s="8">
        <v>6</v>
      </c>
      <c r="I6" s="8">
        <v>5</v>
      </c>
      <c r="J6" s="8">
        <v>1</v>
      </c>
      <c r="L6" s="8" t="str">
        <f t="shared" si="2"/>
        <v>roi</v>
      </c>
      <c r="M6" s="8">
        <v>2</v>
      </c>
      <c r="N6" s="8">
        <v>2</v>
      </c>
      <c r="O6" s="8">
        <v>1</v>
      </c>
      <c r="Q6" s="8" t="str">
        <f t="shared" si="3"/>
        <v>roi</v>
      </c>
      <c r="R6" s="8">
        <f t="shared" si="4"/>
        <v>3.6342411856642793</v>
      </c>
      <c r="S6" s="8">
        <f t="shared" si="0"/>
        <v>3.1072325059538586</v>
      </c>
      <c r="T6" s="8">
        <f t="shared" si="0"/>
        <v>1</v>
      </c>
    </row>
    <row r="8" spans="2:20" hidden="1" x14ac:dyDescent="0.2">
      <c r="C8" s="8">
        <f>SUM(C4:C6)</f>
        <v>7</v>
      </c>
      <c r="D8" s="8">
        <f t="shared" ref="D8:E8" si="5">SUM(D4:D6)</f>
        <v>4.5</v>
      </c>
      <c r="E8" s="8">
        <f t="shared" si="5"/>
        <v>1.5833333333333333</v>
      </c>
      <c r="H8" s="8">
        <f>SUM(H4:H6)</f>
        <v>10</v>
      </c>
      <c r="I8" s="8">
        <f t="shared" ref="I8:J8" si="6">SUM(I4:I6)</f>
        <v>6.333333333333333</v>
      </c>
      <c r="J8" s="8">
        <f t="shared" si="6"/>
        <v>1.3666666666666667</v>
      </c>
      <c r="M8" s="8">
        <f>SUM(M4:M6)</f>
        <v>5</v>
      </c>
      <c r="N8" s="8">
        <f t="shared" ref="N8:O8" si="7">SUM(N4:N6)</f>
        <v>3.5</v>
      </c>
      <c r="O8" s="8">
        <f t="shared" si="7"/>
        <v>2</v>
      </c>
      <c r="R8" s="8">
        <f>SUM(R4:R6)</f>
        <v>6.9236696707709431</v>
      </c>
      <c r="S8" s="8">
        <f t="shared" ref="S8:T8" si="8">SUM(S4:S6)</f>
        <v>4.544022738322008</v>
      </c>
      <c r="T8" s="8">
        <f t="shared" si="8"/>
        <v>1.5969903989430954</v>
      </c>
    </row>
    <row r="9" spans="2:20" hidden="1" x14ac:dyDescent="0.2"/>
    <row r="10" spans="2:20" hidden="1" x14ac:dyDescent="0.2"/>
    <row r="11" spans="2:20" hidden="1" x14ac:dyDescent="0.2">
      <c r="C11" s="8">
        <f>C4/C$8</f>
        <v>0.14285714285714285</v>
      </c>
      <c r="D11" s="8">
        <f>D4/D$8</f>
        <v>0.1111111111111111</v>
      </c>
      <c r="E11" s="8">
        <f>E4/E$8</f>
        <v>0.15789473684210528</v>
      </c>
      <c r="H11" s="8">
        <f>H4/H$8</f>
        <v>0.1</v>
      </c>
      <c r="I11" s="8">
        <f>I4/I$8</f>
        <v>5.2631578947368418E-2</v>
      </c>
      <c r="J11" s="8">
        <f>J4/J$8</f>
        <v>0.12195121951219512</v>
      </c>
      <c r="M11" s="8">
        <f>M4/M$8</f>
        <v>0.2</v>
      </c>
      <c r="N11" s="8">
        <f>N4/N$8</f>
        <v>0.14285714285714285</v>
      </c>
      <c r="O11" s="8">
        <f>O4/O$8</f>
        <v>0.25</v>
      </c>
      <c r="R11" s="8">
        <f>R4/R$8</f>
        <v>0.14443207829824889</v>
      </c>
      <c r="S11" s="8">
        <f>S4/S$8</f>
        <v>9.6124129988276644E-2</v>
      </c>
      <c r="T11" s="8">
        <f>T4/T$8</f>
        <v>0.17229947296906503</v>
      </c>
    </row>
    <row r="12" spans="2:20" hidden="1" x14ac:dyDescent="0.2">
      <c r="C12" s="8">
        <f t="shared" ref="C12:E13" si="9">C5/C$8</f>
        <v>0.2857142857142857</v>
      </c>
      <c r="D12" s="8">
        <f t="shared" si="9"/>
        <v>0.22222222222222221</v>
      </c>
      <c r="E12" s="8">
        <f t="shared" si="9"/>
        <v>0.21052631578947367</v>
      </c>
      <c r="H12" s="8">
        <f t="shared" ref="H12:J13" si="10">H5/H$8</f>
        <v>0.3</v>
      </c>
      <c r="I12" s="8">
        <f t="shared" si="10"/>
        <v>0.15789473684210528</v>
      </c>
      <c r="J12" s="8">
        <f t="shared" si="10"/>
        <v>0.14634146341463414</v>
      </c>
      <c r="M12" s="8">
        <f t="shared" ref="M12:O13" si="11">M5/M$8</f>
        <v>0.4</v>
      </c>
      <c r="N12" s="8">
        <f t="shared" si="11"/>
        <v>0.2857142857142857</v>
      </c>
      <c r="O12" s="8">
        <f t="shared" si="11"/>
        <v>0.25</v>
      </c>
      <c r="R12" s="8">
        <f t="shared" ref="R12:T13" si="12">R5/R$8</f>
        <v>0.330666914219167</v>
      </c>
      <c r="S12" s="8">
        <f t="shared" si="12"/>
        <v>0.2200693213012562</v>
      </c>
      <c r="T12" s="8">
        <f t="shared" si="12"/>
        <v>0.20152268609850973</v>
      </c>
    </row>
    <row r="13" spans="2:20" hidden="1" x14ac:dyDescent="0.2">
      <c r="C13" s="8">
        <f t="shared" si="9"/>
        <v>0.5714285714285714</v>
      </c>
      <c r="D13" s="8">
        <f t="shared" si="9"/>
        <v>0.66666666666666663</v>
      </c>
      <c r="E13" s="8">
        <f t="shared" si="9"/>
        <v>0.63157894736842113</v>
      </c>
      <c r="H13" s="8">
        <f t="shared" si="10"/>
        <v>0.6</v>
      </c>
      <c r="I13" s="8">
        <f t="shared" si="10"/>
        <v>0.78947368421052633</v>
      </c>
      <c r="J13" s="8">
        <f t="shared" si="10"/>
        <v>0.73170731707317072</v>
      </c>
      <c r="M13" s="8">
        <f t="shared" si="11"/>
        <v>0.4</v>
      </c>
      <c r="N13" s="8">
        <f t="shared" si="11"/>
        <v>0.5714285714285714</v>
      </c>
      <c r="O13" s="8">
        <f t="shared" si="11"/>
        <v>0.5</v>
      </c>
      <c r="R13" s="8">
        <f t="shared" si="12"/>
        <v>0.52490100748258406</v>
      </c>
      <c r="S13" s="8">
        <f t="shared" si="12"/>
        <v>0.6838065487104672</v>
      </c>
      <c r="T13" s="8">
        <f t="shared" si="12"/>
        <v>0.62617784093242534</v>
      </c>
    </row>
    <row r="14" spans="2:20" hidden="1" x14ac:dyDescent="0.2"/>
    <row r="15" spans="2:20" x14ac:dyDescent="0.2">
      <c r="D15" s="8" t="str">
        <f>B4</f>
        <v>trošak impl</v>
      </c>
      <c r="E15" s="8">
        <f>AVERAGE(C11:E11)</f>
        <v>0.1372876636034531</v>
      </c>
      <c r="I15" s="8" t="str">
        <f>G4</f>
        <v>trošak impl</v>
      </c>
      <c r="J15" s="8">
        <f>AVERAGE(H11:J11)</f>
        <v>9.1527599486521186E-2</v>
      </c>
      <c r="N15" s="8" t="str">
        <f>L4</f>
        <v>trošak impl</v>
      </c>
      <c r="O15" s="8">
        <f>AVERAGE(M11:O11)</f>
        <v>0.19761904761904761</v>
      </c>
      <c r="S15" s="8" t="str">
        <f>Q4</f>
        <v>trošak impl</v>
      </c>
      <c r="T15" s="11">
        <f>AVERAGE(R11:T11)</f>
        <v>0.13761856041853018</v>
      </c>
    </row>
    <row r="16" spans="2:20" x14ac:dyDescent="0.2">
      <c r="D16" s="8" t="str">
        <f t="shared" ref="D16:D17" si="13">B5</f>
        <v>trošak održ</v>
      </c>
      <c r="E16" s="8">
        <f t="shared" ref="E16:E17" si="14">AVERAGE(C12:E12)</f>
        <v>0.23948760790866053</v>
      </c>
      <c r="I16" s="8" t="str">
        <f t="shared" ref="I16:I17" si="15">G5</f>
        <v>trošak održ</v>
      </c>
      <c r="J16" s="8">
        <f t="shared" ref="J16:J17" si="16">AVERAGE(H12:J12)</f>
        <v>0.20141206675224646</v>
      </c>
      <c r="N16" s="8" t="str">
        <f t="shared" ref="N16:N17" si="17">L5</f>
        <v>trošak održ</v>
      </c>
      <c r="O16" s="8">
        <f t="shared" ref="O16:O17" si="18">AVERAGE(M12:O12)</f>
        <v>0.31190476190476191</v>
      </c>
      <c r="S16" s="8" t="str">
        <f t="shared" ref="S16:S17" si="19">Q5</f>
        <v>trošak održ</v>
      </c>
      <c r="T16" s="11">
        <f t="shared" ref="T16:T17" si="20">AVERAGE(R12:T12)</f>
        <v>0.25075297387297762</v>
      </c>
    </row>
    <row r="17" spans="2:20" x14ac:dyDescent="0.2">
      <c r="D17" s="8" t="str">
        <f t="shared" si="13"/>
        <v>roi</v>
      </c>
      <c r="E17" s="8">
        <f t="shared" si="14"/>
        <v>0.62322472848788646</v>
      </c>
      <c r="I17" s="8" t="str">
        <f t="shared" si="15"/>
        <v>roi</v>
      </c>
      <c r="J17" s="8">
        <f t="shared" si="16"/>
        <v>0.70706033376123223</v>
      </c>
      <c r="N17" s="8" t="str">
        <f t="shared" si="17"/>
        <v>roi</v>
      </c>
      <c r="O17" s="8">
        <f t="shared" si="18"/>
        <v>0.49047619047619051</v>
      </c>
      <c r="S17" s="8" t="str">
        <f t="shared" si="19"/>
        <v>roi</v>
      </c>
      <c r="T17" s="11">
        <f t="shared" si="20"/>
        <v>0.61162846570849216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0.1372876636034531</v>
      </c>
      <c r="D21" s="8">
        <f>D4*E$16</f>
        <v>0.11974380395433026</v>
      </c>
      <c r="E21" s="8">
        <f>E4*E$17</f>
        <v>0.15580618212197161</v>
      </c>
      <c r="H21" s="8">
        <f>H4*J$15</f>
        <v>9.1527599486521186E-2</v>
      </c>
      <c r="I21" s="8">
        <f>I4*J$16</f>
        <v>6.7137355584082153E-2</v>
      </c>
      <c r="J21" s="8">
        <f>J4*J$17</f>
        <v>0.11784338896020537</v>
      </c>
      <c r="M21" s="8">
        <f>M4*O$15</f>
        <v>0.19761904761904761</v>
      </c>
      <c r="N21" s="8">
        <f>N4*O$16</f>
        <v>0.15595238095238095</v>
      </c>
      <c r="O21" s="8">
        <f>O4*O$17</f>
        <v>0.24523809523809526</v>
      </c>
      <c r="R21" s="8">
        <f>R4*T$15</f>
        <v>0.13761856041853018</v>
      </c>
      <c r="S21" s="8">
        <f>S4*T$16</f>
        <v>0.10952644972498241</v>
      </c>
      <c r="T21" s="8">
        <f>T4*T$17</f>
        <v>0.16829605809354026</v>
      </c>
    </row>
    <row r="22" spans="2:20" hidden="1" x14ac:dyDescent="0.2">
      <c r="C22" s="8">
        <f t="shared" ref="C22:C23" si="21">C5*E$15</f>
        <v>0.27457532720690619</v>
      </c>
      <c r="D22" s="8">
        <f t="shared" ref="D22:D23" si="22">D5*E$16</f>
        <v>0.23948760790866053</v>
      </c>
      <c r="E22" s="8">
        <f t="shared" ref="E22:E23" si="23">E5*E$17</f>
        <v>0.20774157616262881</v>
      </c>
      <c r="H22" s="8">
        <f t="shared" ref="H22:H23" si="24">H5*J$15</f>
        <v>0.27458279845956357</v>
      </c>
      <c r="I22" s="8">
        <f t="shared" ref="I22:I23" si="25">I5*J$16</f>
        <v>0.20141206675224646</v>
      </c>
      <c r="J22" s="8">
        <f t="shared" ref="J22:J23" si="26">J5*J$17</f>
        <v>0.14141206675224646</v>
      </c>
      <c r="M22" s="8">
        <f t="shared" ref="M22:M23" si="27">M5*O$15</f>
        <v>0.39523809523809522</v>
      </c>
      <c r="N22" s="8">
        <f t="shared" ref="N22:N23" si="28">N5*O$16</f>
        <v>0.31190476190476191</v>
      </c>
      <c r="O22" s="8">
        <f t="shared" ref="O22:O23" si="29">O5*O$17</f>
        <v>0.24523809523809526</v>
      </c>
      <c r="R22" s="8">
        <f t="shared" ref="R22:R23" si="30">R5*T$15</f>
        <v>0.31506785230155543</v>
      </c>
      <c r="S22" s="8">
        <f t="shared" ref="S22:S23" si="31">S5*T$16</f>
        <v>0.25075297387297762</v>
      </c>
      <c r="T22" s="8">
        <f t="shared" ref="T22:T23" si="32">T5*T$17</f>
        <v>0.19684026365472587</v>
      </c>
    </row>
    <row r="23" spans="2:20" hidden="1" x14ac:dyDescent="0.2">
      <c r="C23" s="8">
        <f t="shared" si="21"/>
        <v>0.54915065441381239</v>
      </c>
      <c r="D23" s="8">
        <f t="shared" si="22"/>
        <v>0.71846282372598158</v>
      </c>
      <c r="E23" s="8">
        <f t="shared" si="23"/>
        <v>0.62322472848788646</v>
      </c>
      <c r="H23" s="8">
        <f t="shared" si="24"/>
        <v>0.54916559691912714</v>
      </c>
      <c r="I23" s="8">
        <f t="shared" si="25"/>
        <v>1.0070603337612323</v>
      </c>
      <c r="J23" s="8">
        <f t="shared" si="26"/>
        <v>0.70706033376123223</v>
      </c>
      <c r="M23" s="8">
        <f t="shared" si="27"/>
        <v>0.39523809523809522</v>
      </c>
      <c r="N23" s="8">
        <f t="shared" si="28"/>
        <v>0.62380952380952381</v>
      </c>
      <c r="O23" s="8">
        <f t="shared" si="29"/>
        <v>0.49047619047619051</v>
      </c>
      <c r="R23" s="8">
        <f t="shared" si="30"/>
        <v>0.50013904018485045</v>
      </c>
      <c r="S23" s="8">
        <f t="shared" si="31"/>
        <v>0.77914779138271473</v>
      </c>
      <c r="T23" s="8">
        <f t="shared" si="32"/>
        <v>0.61162846570849216</v>
      </c>
    </row>
    <row r="24" spans="2:20" hidden="1" x14ac:dyDescent="0.2"/>
    <row r="25" spans="2:20" hidden="1" x14ac:dyDescent="0.2">
      <c r="C25" s="8">
        <f>SUM(C21:E21)</f>
        <v>0.412837649679755</v>
      </c>
      <c r="D25" s="8">
        <f>SUM(C22:E22)</f>
        <v>0.72180451127819556</v>
      </c>
      <c r="E25" s="8">
        <f>SUM(C23:E23)</f>
        <v>1.8908382066276803</v>
      </c>
      <c r="H25" s="8">
        <f>SUM(H21:J21)</f>
        <v>0.27650834403080871</v>
      </c>
      <c r="I25" s="8">
        <f>SUM(H22:J22)</f>
        <v>0.61740693196405649</v>
      </c>
      <c r="J25" s="8">
        <f>SUM(H23:J23)</f>
        <v>2.2632862644415916</v>
      </c>
      <c r="M25" s="8">
        <f>SUM(M21:O21)</f>
        <v>0.59880952380952379</v>
      </c>
      <c r="N25" s="8">
        <f>SUM(M22:O22)</f>
        <v>0.95238095238095233</v>
      </c>
      <c r="O25" s="8">
        <f>SUM(M23:O23)</f>
        <v>1.5095238095238095</v>
      </c>
      <c r="R25" s="8">
        <f>SUM(R21:T21)</f>
        <v>0.41544106823705285</v>
      </c>
      <c r="S25" s="8">
        <f>SUM(R22:T22)</f>
        <v>0.76266108982925884</v>
      </c>
      <c r="T25" s="8">
        <f>SUM(R23:T23)</f>
        <v>1.8909152972760572</v>
      </c>
    </row>
    <row r="26" spans="2:20" hidden="1" x14ac:dyDescent="0.2"/>
    <row r="27" spans="2:20" hidden="1" x14ac:dyDescent="0.2">
      <c r="C27" s="8">
        <f>E15</f>
        <v>0.1372876636034531</v>
      </c>
      <c r="D27" s="8">
        <f>E16</f>
        <v>0.23948760790866053</v>
      </c>
      <c r="E27" s="8">
        <f>E17</f>
        <v>0.62322472848788646</v>
      </c>
      <c r="H27" s="8">
        <f>J15</f>
        <v>9.1527599486521186E-2</v>
      </c>
      <c r="I27" s="8">
        <f>J16</f>
        <v>0.20141206675224646</v>
      </c>
      <c r="J27" s="8">
        <f>J17</f>
        <v>0.70706033376123223</v>
      </c>
      <c r="M27" s="8">
        <f>O15</f>
        <v>0.19761904761904761</v>
      </c>
      <c r="N27" s="8">
        <f>O16</f>
        <v>0.31190476190476191</v>
      </c>
      <c r="O27" s="8">
        <f>O17</f>
        <v>0.49047619047619051</v>
      </c>
      <c r="R27" s="8">
        <f>T15</f>
        <v>0.13761856041853018</v>
      </c>
      <c r="S27" s="8">
        <f>T16</f>
        <v>0.25075297387297762</v>
      </c>
      <c r="T27" s="8">
        <f>T17</f>
        <v>0.61162846570849216</v>
      </c>
    </row>
    <row r="28" spans="2:20" hidden="1" x14ac:dyDescent="0.2"/>
    <row r="29" spans="2:20" hidden="1" x14ac:dyDescent="0.2">
      <c r="C29" s="8">
        <f>C25/C27</f>
        <v>3.0070993914807302</v>
      </c>
      <c r="D29" s="8">
        <f t="shared" ref="D29:E29" si="33">D25/D27</f>
        <v>3.0139534883720933</v>
      </c>
      <c r="E29" s="8">
        <f t="shared" si="33"/>
        <v>3.0339588918677385</v>
      </c>
      <c r="H29" s="8">
        <f>H25/H27</f>
        <v>3.0210378681626926</v>
      </c>
      <c r="I29" s="8">
        <f t="shared" ref="I29:J29" si="34">I25/I27</f>
        <v>3.065391969407266</v>
      </c>
      <c r="J29" s="8">
        <f t="shared" si="34"/>
        <v>3.2009803921568629</v>
      </c>
      <c r="M29" s="8">
        <f>M25/M27</f>
        <v>3.0301204819277108</v>
      </c>
      <c r="N29" s="8">
        <f t="shared" ref="N29:O29" si="35">N25/N27</f>
        <v>3.0534351145038165</v>
      </c>
      <c r="O29" s="8">
        <f t="shared" si="35"/>
        <v>3.0776699029126209</v>
      </c>
      <c r="R29" s="8">
        <f>R25/R27</f>
        <v>3.018786615508835</v>
      </c>
      <c r="S29" s="8">
        <f t="shared" ref="S29:T29" si="36">S25/S27</f>
        <v>3.0414837281873885</v>
      </c>
      <c r="T29" s="8">
        <f t="shared" si="36"/>
        <v>3.0916077378538578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3.0183372572401872</v>
      </c>
      <c r="I31" s="8" t="s">
        <v>20</v>
      </c>
      <c r="J31" s="8">
        <f>AVERAGE(H29:J29)</f>
        <v>3.0958034099089407</v>
      </c>
      <c r="N31" s="8" t="s">
        <v>20</v>
      </c>
      <c r="O31" s="8">
        <f>AVERAGE(M29:O29)</f>
        <v>3.0537418331147159</v>
      </c>
      <c r="S31" s="8" t="s">
        <v>20</v>
      </c>
      <c r="T31" s="8">
        <f>AVERAGE(R29:T29)</f>
        <v>3.0506260271833603</v>
      </c>
    </row>
    <row r="32" spans="2:20" hidden="1" x14ac:dyDescent="0.2">
      <c r="D32" s="8" t="s">
        <v>21</v>
      </c>
      <c r="E32" s="8">
        <f>(E31-3)/2</f>
        <v>9.1686286200935996E-3</v>
      </c>
      <c r="I32" s="8" t="s">
        <v>21</v>
      </c>
      <c r="J32" s="8">
        <f>(J31-3)/2</f>
        <v>4.7901704954470326E-2</v>
      </c>
      <c r="N32" s="8" t="s">
        <v>21</v>
      </c>
      <c r="O32" s="8">
        <f>(O31-3)/2</f>
        <v>2.687091655735796E-2</v>
      </c>
      <c r="S32" s="8" t="s">
        <v>21</v>
      </c>
      <c r="T32" s="8">
        <f>(T31-3)/2</f>
        <v>2.5313013591680145E-2</v>
      </c>
    </row>
    <row r="33" spans="4:20" x14ac:dyDescent="0.2">
      <c r="D33" s="8" t="s">
        <v>22</v>
      </c>
      <c r="E33" s="8">
        <f>E32/0.52</f>
        <v>1.7631978115564613E-2</v>
      </c>
      <c r="I33" s="8" t="s">
        <v>22</v>
      </c>
      <c r="J33" s="8">
        <f>J32/0.52</f>
        <v>9.2118663373981391E-2</v>
      </c>
      <c r="N33" s="8" t="s">
        <v>22</v>
      </c>
      <c r="O33" s="8">
        <f>O32/0.52</f>
        <v>5.1674839533380694E-2</v>
      </c>
      <c r="S33" s="8" t="s">
        <v>22</v>
      </c>
      <c r="T33" s="8">
        <f>T32/0.52</f>
        <v>4.8678872291692585E-2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1A65-9997-EA41-80C6-10FE7A29AA76}">
  <dimension ref="B2:P12"/>
  <sheetViews>
    <sheetView workbookViewId="0">
      <selection activeCell="P12" sqref="P12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konk pred</v>
      </c>
      <c r="D2" s="8" t="str">
        <f>B4</f>
        <v>prep i inv</v>
      </c>
      <c r="F2" s="8"/>
      <c r="G2" s="8" t="str">
        <f>F3</f>
        <v>konk pred</v>
      </c>
      <c r="H2" s="8" t="str">
        <f>F4</f>
        <v>prep i inv</v>
      </c>
      <c r="J2" s="8"/>
      <c r="K2" s="8" t="str">
        <f>J3</f>
        <v>konk pred</v>
      </c>
      <c r="L2" s="8" t="str">
        <f>J4</f>
        <v>prep i inv</v>
      </c>
      <c r="N2" s="8"/>
      <c r="O2" s="8" t="str">
        <f>N3</f>
        <v>konk pred</v>
      </c>
      <c r="P2" s="8" t="str">
        <f>N4</f>
        <v>prep i inv</v>
      </c>
    </row>
    <row r="3" spans="2:16" x14ac:dyDescent="0.2">
      <c r="B3" s="9" t="s">
        <v>61</v>
      </c>
      <c r="C3" s="8">
        <v>1</v>
      </c>
      <c r="D3" s="8">
        <v>2</v>
      </c>
      <c r="F3" s="8" t="str">
        <f>B3</f>
        <v>konk pred</v>
      </c>
      <c r="G3" s="8">
        <v>1</v>
      </c>
      <c r="H3" s="8">
        <f>1/3</f>
        <v>0.33333333333333331</v>
      </c>
      <c r="J3" s="8" t="str">
        <f>F3</f>
        <v>konk pred</v>
      </c>
      <c r="K3" s="8">
        <v>1</v>
      </c>
      <c r="L3" s="8">
        <f>1/4</f>
        <v>0.25</v>
      </c>
      <c r="N3" s="8" t="str">
        <f>J3</f>
        <v>konk pred</v>
      </c>
      <c r="O3" s="8">
        <f>GEOMEAN(C3,G3,K3)</f>
        <v>1</v>
      </c>
      <c r="P3" s="8">
        <f>GEOMEAN(D3,H3,L3)</f>
        <v>0.55032120814910446</v>
      </c>
    </row>
    <row r="4" spans="2:16" x14ac:dyDescent="0.2">
      <c r="B4" s="9" t="s">
        <v>62</v>
      </c>
      <c r="C4" s="8">
        <f>1/2</f>
        <v>0.5</v>
      </c>
      <c r="D4" s="8">
        <v>1</v>
      </c>
      <c r="F4" s="8" t="str">
        <f>B4</f>
        <v>prep i inv</v>
      </c>
      <c r="G4" s="8">
        <v>3</v>
      </c>
      <c r="H4" s="8">
        <v>1</v>
      </c>
      <c r="J4" s="8" t="str">
        <f>F4</f>
        <v>prep i inv</v>
      </c>
      <c r="K4" s="8">
        <v>4</v>
      </c>
      <c r="L4" s="8">
        <v>1</v>
      </c>
      <c r="N4" s="8" t="str">
        <f>J4</f>
        <v>prep i inv</v>
      </c>
      <c r="O4" s="8">
        <f>GEOMEAN(C4,G4,K4)</f>
        <v>1.8171205928321397</v>
      </c>
      <c r="P4" s="8">
        <f>GEOMEAN(D4,H4,L4)</f>
        <v>1</v>
      </c>
    </row>
    <row r="6" spans="2:16" hidden="1" x14ac:dyDescent="0.2">
      <c r="C6">
        <f>SUM(C3:C4)</f>
        <v>1.5</v>
      </c>
      <c r="D6">
        <f>SUM(D3:D4)</f>
        <v>3</v>
      </c>
      <c r="G6">
        <f>SUM(G3:G4)</f>
        <v>4</v>
      </c>
      <c r="H6">
        <f>SUM(H3:H4)</f>
        <v>1.3333333333333333</v>
      </c>
      <c r="K6">
        <f>SUM(K3:K4)</f>
        <v>5</v>
      </c>
      <c r="L6">
        <f>SUM(L3:L4)</f>
        <v>1.25</v>
      </c>
      <c r="O6">
        <f>SUM(O3:O4)</f>
        <v>2.8171205928321399</v>
      </c>
      <c r="P6">
        <f>SUM(P3:P4)</f>
        <v>1.5503212081491045</v>
      </c>
    </row>
    <row r="7" spans="2:16" hidden="1" x14ac:dyDescent="0.2"/>
    <row r="8" spans="2:16" hidden="1" x14ac:dyDescent="0.2">
      <c r="C8" s="8">
        <f>C3/C$6</f>
        <v>0.66666666666666663</v>
      </c>
      <c r="D8" s="8">
        <f>D3/D$6</f>
        <v>0.66666666666666663</v>
      </c>
      <c r="G8" s="8">
        <f>G3/G$6</f>
        <v>0.25</v>
      </c>
      <c r="H8" s="8">
        <f>H3/H$6</f>
        <v>0.25</v>
      </c>
      <c r="K8" s="8">
        <f>K3/K$6</f>
        <v>0.2</v>
      </c>
      <c r="L8" s="8">
        <f>L3/L$6</f>
        <v>0.2</v>
      </c>
      <c r="O8" s="8">
        <f>O3/O$6</f>
        <v>0.3549723794374981</v>
      </c>
      <c r="P8" s="8">
        <f>P3/P$6</f>
        <v>0.35497237943749815</v>
      </c>
    </row>
    <row r="9" spans="2:16" hidden="1" x14ac:dyDescent="0.2">
      <c r="C9" s="8">
        <f>C4/C$6</f>
        <v>0.33333333333333331</v>
      </c>
      <c r="D9" s="8">
        <f>D4/D$6</f>
        <v>0.33333333333333331</v>
      </c>
      <c r="G9" s="8">
        <f>G4/G$6</f>
        <v>0.75</v>
      </c>
      <c r="H9" s="8">
        <f>H4/H$6</f>
        <v>0.75</v>
      </c>
      <c r="K9" s="8">
        <f>K4/K$6</f>
        <v>0.8</v>
      </c>
      <c r="L9" s="8">
        <f>L4/L$6</f>
        <v>0.8</v>
      </c>
      <c r="O9" s="8">
        <f>O4/O$6</f>
        <v>0.64502762056250185</v>
      </c>
      <c r="P9" s="8">
        <f>P4/P$6</f>
        <v>0.64502762056250185</v>
      </c>
    </row>
    <row r="10" spans="2:16" hidden="1" x14ac:dyDescent="0.2"/>
    <row r="11" spans="2:16" x14ac:dyDescent="0.2">
      <c r="C11" s="8" t="str">
        <f>B3</f>
        <v>konk pred</v>
      </c>
      <c r="D11" s="8">
        <f>AVERAGE(C8:D8)</f>
        <v>0.66666666666666663</v>
      </c>
      <c r="G11" s="8" t="str">
        <f>F3</f>
        <v>konk pred</v>
      </c>
      <c r="H11" s="8">
        <f>AVERAGE(G8:H8)</f>
        <v>0.25</v>
      </c>
      <c r="K11" s="8" t="str">
        <f>J3</f>
        <v>konk pred</v>
      </c>
      <c r="L11" s="8">
        <f>AVERAGE(K8:L8)</f>
        <v>0.2</v>
      </c>
      <c r="O11" s="8" t="str">
        <f>N3</f>
        <v>konk pred</v>
      </c>
      <c r="P11" s="11">
        <f>AVERAGE(O8:P8)</f>
        <v>0.35497237943749815</v>
      </c>
    </row>
    <row r="12" spans="2:16" x14ac:dyDescent="0.2">
      <c r="C12" s="8" t="str">
        <f>B4</f>
        <v>prep i inv</v>
      </c>
      <c r="D12" s="8">
        <f>AVERAGE(C9:D9)</f>
        <v>0.33333333333333331</v>
      </c>
      <c r="G12" s="8" t="str">
        <f>F4</f>
        <v>prep i inv</v>
      </c>
      <c r="H12" s="8">
        <f>AVERAGE(G9:H9)</f>
        <v>0.75</v>
      </c>
      <c r="K12" s="8" t="str">
        <f>J4</f>
        <v>prep i inv</v>
      </c>
      <c r="L12" s="8">
        <f>AVERAGE(K9:L9)</f>
        <v>0.8</v>
      </c>
      <c r="O12" s="8" t="str">
        <f>N4</f>
        <v>prep i inv</v>
      </c>
      <c r="P12" s="11">
        <f>AVERAGE(O9:P9)</f>
        <v>0.64502762056250185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A238-1CE0-9640-91BC-BF2F2D78C4C7}">
  <dimension ref="B2:P12"/>
  <sheetViews>
    <sheetView workbookViewId="0">
      <selection activeCell="P12" sqref="P12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dost</v>
      </c>
      <c r="D2" s="8" t="str">
        <f>B4</f>
        <v>učink</v>
      </c>
      <c r="F2" s="8"/>
      <c r="G2" s="8" t="str">
        <f>F3</f>
        <v>dost</v>
      </c>
      <c r="H2" s="8" t="str">
        <f>F4</f>
        <v>učink</v>
      </c>
      <c r="J2" s="8"/>
      <c r="K2" s="8" t="str">
        <f>J3</f>
        <v>dost</v>
      </c>
      <c r="L2" s="8" t="str">
        <f>J4</f>
        <v>učink</v>
      </c>
      <c r="N2" s="8"/>
      <c r="O2" s="8" t="str">
        <f>N3</f>
        <v>dost</v>
      </c>
      <c r="P2" s="8" t="str">
        <f>N4</f>
        <v>učink</v>
      </c>
    </row>
    <row r="3" spans="2:16" x14ac:dyDescent="0.2">
      <c r="B3" s="9" t="s">
        <v>63</v>
      </c>
      <c r="C3" s="8">
        <v>1</v>
      </c>
      <c r="D3" s="8">
        <v>1</v>
      </c>
      <c r="F3" s="8" t="str">
        <f>B3</f>
        <v>dost</v>
      </c>
      <c r="G3" s="8">
        <v>1</v>
      </c>
      <c r="H3" s="8">
        <f>1/3</f>
        <v>0.33333333333333331</v>
      </c>
      <c r="J3" s="8" t="str">
        <f>F3</f>
        <v>dost</v>
      </c>
      <c r="K3" s="8">
        <v>1</v>
      </c>
      <c r="L3" s="8">
        <f>1/5</f>
        <v>0.2</v>
      </c>
      <c r="N3" s="8" t="str">
        <f>J3</f>
        <v>dost</v>
      </c>
      <c r="O3" s="8">
        <f>GEOMEAN(C3,G3,K3)</f>
        <v>1</v>
      </c>
      <c r="P3" s="8">
        <f>GEOMEAN(D3,H3,L3)</f>
        <v>0.40548013303822666</v>
      </c>
    </row>
    <row r="4" spans="2:16" x14ac:dyDescent="0.2">
      <c r="B4" s="9" t="s">
        <v>64</v>
      </c>
      <c r="C4" s="8">
        <v>1</v>
      </c>
      <c r="D4" s="8">
        <v>1</v>
      </c>
      <c r="F4" s="8" t="str">
        <f>B4</f>
        <v>učink</v>
      </c>
      <c r="G4" s="8">
        <v>3</v>
      </c>
      <c r="H4" s="8">
        <v>1</v>
      </c>
      <c r="J4" s="8" t="str">
        <f>F4</f>
        <v>učink</v>
      </c>
      <c r="K4" s="8">
        <v>5</v>
      </c>
      <c r="L4" s="8">
        <v>1</v>
      </c>
      <c r="N4" s="8" t="str">
        <f>J4</f>
        <v>učink</v>
      </c>
      <c r="O4" s="8">
        <f>GEOMEAN(C4,G4,K4)</f>
        <v>2.4662120743304699</v>
      </c>
      <c r="P4" s="8">
        <f>GEOMEAN(D4,H4,L4)</f>
        <v>1</v>
      </c>
    </row>
    <row r="6" spans="2:16" hidden="1" x14ac:dyDescent="0.2">
      <c r="C6">
        <f>SUM(C3:C4)</f>
        <v>2</v>
      </c>
      <c r="D6">
        <f>SUM(D3:D4)</f>
        <v>2</v>
      </c>
      <c r="G6">
        <f>SUM(G3:G4)</f>
        <v>4</v>
      </c>
      <c r="H6">
        <f>SUM(H3:H4)</f>
        <v>1.3333333333333333</v>
      </c>
      <c r="K6">
        <f>SUM(K3:K4)</f>
        <v>6</v>
      </c>
      <c r="L6">
        <f>SUM(L3:L4)</f>
        <v>1.2</v>
      </c>
      <c r="O6">
        <f>SUM(O3:O4)</f>
        <v>3.4662120743304699</v>
      </c>
      <c r="P6">
        <f>SUM(P3:P4)</f>
        <v>1.4054801330382267</v>
      </c>
    </row>
    <row r="7" spans="2:16" hidden="1" x14ac:dyDescent="0.2"/>
    <row r="8" spans="2:16" hidden="1" x14ac:dyDescent="0.2">
      <c r="C8" s="8">
        <f>C3/C$6</f>
        <v>0.5</v>
      </c>
      <c r="D8" s="8">
        <f>D3/D$6</f>
        <v>0.5</v>
      </c>
      <c r="G8" s="8">
        <f>G3/G$6</f>
        <v>0.25</v>
      </c>
      <c r="H8" s="8">
        <f>H3/H$6</f>
        <v>0.25</v>
      </c>
      <c r="K8" s="8">
        <f>K3/K$6</f>
        <v>0.16666666666666666</v>
      </c>
      <c r="L8" s="8">
        <f>L3/L$6</f>
        <v>0.16666666666666669</v>
      </c>
      <c r="O8" s="8">
        <f>O3/O$6</f>
        <v>0.28849937007768317</v>
      </c>
      <c r="P8" s="8">
        <f>P3/P$6</f>
        <v>0.28849937007768311</v>
      </c>
    </row>
    <row r="9" spans="2:16" hidden="1" x14ac:dyDescent="0.2">
      <c r="C9" s="8">
        <f>C4/C$6</f>
        <v>0.5</v>
      </c>
      <c r="D9" s="8">
        <f>D4/D$6</f>
        <v>0.5</v>
      </c>
      <c r="G9" s="8">
        <f>G4/G$6</f>
        <v>0.75</v>
      </c>
      <c r="H9" s="8">
        <f>H4/H$6</f>
        <v>0.75</v>
      </c>
      <c r="K9" s="8">
        <f>K4/K$6</f>
        <v>0.83333333333333337</v>
      </c>
      <c r="L9" s="8">
        <f>L4/L$6</f>
        <v>0.83333333333333337</v>
      </c>
      <c r="O9" s="8">
        <f>O4/O$6</f>
        <v>0.71150062992231689</v>
      </c>
      <c r="P9" s="8">
        <f>P4/P$6</f>
        <v>0.71150062992231689</v>
      </c>
    </row>
    <row r="10" spans="2:16" hidden="1" x14ac:dyDescent="0.2"/>
    <row r="11" spans="2:16" x14ac:dyDescent="0.2">
      <c r="C11" s="8" t="str">
        <f>B3</f>
        <v>dost</v>
      </c>
      <c r="D11" s="8">
        <f>AVERAGE(C8:D8)</f>
        <v>0.5</v>
      </c>
      <c r="G11" s="8" t="str">
        <f>F3</f>
        <v>dost</v>
      </c>
      <c r="H11" s="8">
        <f>AVERAGE(G8:H8)</f>
        <v>0.25</v>
      </c>
      <c r="K11" s="8" t="str">
        <f>J3</f>
        <v>dost</v>
      </c>
      <c r="L11" s="8">
        <f>AVERAGE(K8:L8)</f>
        <v>0.16666666666666669</v>
      </c>
      <c r="O11" s="8" t="str">
        <f>N3</f>
        <v>dost</v>
      </c>
      <c r="P11" s="11">
        <f>AVERAGE(O8:P8)</f>
        <v>0.28849937007768311</v>
      </c>
    </row>
    <row r="12" spans="2:16" x14ac:dyDescent="0.2">
      <c r="C12" s="8" t="str">
        <f>B4</f>
        <v>učink</v>
      </c>
      <c r="D12" s="8">
        <f>AVERAGE(C9:D9)</f>
        <v>0.5</v>
      </c>
      <c r="G12" s="8" t="str">
        <f>F4</f>
        <v>učink</v>
      </c>
      <c r="H12" s="8">
        <f>AVERAGE(G9:H9)</f>
        <v>0.75</v>
      </c>
      <c r="K12" s="8" t="str">
        <f>J4</f>
        <v>učink</v>
      </c>
      <c r="L12" s="8">
        <f>AVERAGE(K9:L9)</f>
        <v>0.83333333333333337</v>
      </c>
      <c r="O12" s="8" t="str">
        <f>N4</f>
        <v>učink</v>
      </c>
      <c r="P12" s="11">
        <f>AVERAGE(O9:P9)</f>
        <v>0.71150062992231689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633B-C5A3-2A45-B89C-F3335CA20C57}">
  <dimension ref="B2:P12"/>
  <sheetViews>
    <sheetView workbookViewId="0">
      <selection activeCell="P12" sqref="P12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vrijeme</v>
      </c>
      <c r="D2" s="8" t="str">
        <f>B4</f>
        <v>auto</v>
      </c>
      <c r="F2" s="8"/>
      <c r="G2" s="8" t="str">
        <f>F3</f>
        <v>vrijeme</v>
      </c>
      <c r="H2" s="8" t="str">
        <f>F4</f>
        <v>auto</v>
      </c>
      <c r="J2" s="8"/>
      <c r="K2" s="8" t="str">
        <f>J3</f>
        <v>vrijeme</v>
      </c>
      <c r="L2" s="8" t="str">
        <f>J4</f>
        <v>auto</v>
      </c>
      <c r="N2" s="8"/>
      <c r="O2" s="8" t="str">
        <f>N3</f>
        <v>vrijeme</v>
      </c>
      <c r="P2" s="8" t="str">
        <f>N4</f>
        <v>auto</v>
      </c>
    </row>
    <row r="3" spans="2:16" x14ac:dyDescent="0.2">
      <c r="B3" s="9" t="s">
        <v>65</v>
      </c>
      <c r="C3" s="8">
        <v>1</v>
      </c>
      <c r="D3" s="8">
        <v>1</v>
      </c>
      <c r="F3" s="8" t="str">
        <f>B3</f>
        <v>vrijeme</v>
      </c>
      <c r="G3" s="8">
        <v>1</v>
      </c>
      <c r="H3" s="8">
        <v>2</v>
      </c>
      <c r="J3" s="8" t="str">
        <f>F3</f>
        <v>vrijeme</v>
      </c>
      <c r="K3" s="8">
        <v>1</v>
      </c>
      <c r="L3" s="8">
        <f>1/2</f>
        <v>0.5</v>
      </c>
      <c r="N3" s="8" t="str">
        <f>J3</f>
        <v>vrijeme</v>
      </c>
      <c r="O3" s="8">
        <f>GEOMEAN(C3,G3,K3)</f>
        <v>1</v>
      </c>
      <c r="P3" s="8">
        <f>GEOMEAN(D3,H3,L3)</f>
        <v>1</v>
      </c>
    </row>
    <row r="4" spans="2:16" x14ac:dyDescent="0.2">
      <c r="B4" s="9" t="s">
        <v>66</v>
      </c>
      <c r="C4" s="8">
        <v>1</v>
      </c>
      <c r="D4" s="8">
        <v>1</v>
      </c>
      <c r="F4" s="8" t="str">
        <f>B4</f>
        <v>auto</v>
      </c>
      <c r="G4" s="8">
        <f>1/2</f>
        <v>0.5</v>
      </c>
      <c r="H4" s="8">
        <v>1</v>
      </c>
      <c r="J4" s="8" t="str">
        <f>F4</f>
        <v>auto</v>
      </c>
      <c r="K4" s="8">
        <v>2</v>
      </c>
      <c r="L4" s="8">
        <v>1</v>
      </c>
      <c r="N4" s="8" t="str">
        <f>J4</f>
        <v>auto</v>
      </c>
      <c r="O4" s="8">
        <f>GEOMEAN(C4,G4,K4)</f>
        <v>1</v>
      </c>
      <c r="P4" s="8">
        <f>GEOMEAN(D4,H4,L4)</f>
        <v>1</v>
      </c>
    </row>
    <row r="6" spans="2:16" hidden="1" x14ac:dyDescent="0.2">
      <c r="C6">
        <f>SUM(C3:C4)</f>
        <v>2</v>
      </c>
      <c r="D6">
        <f>SUM(D3:D4)</f>
        <v>2</v>
      </c>
      <c r="G6">
        <f>SUM(G3:G4)</f>
        <v>1.5</v>
      </c>
      <c r="H6">
        <f>SUM(H3:H4)</f>
        <v>3</v>
      </c>
      <c r="K6">
        <f>SUM(K3:K4)</f>
        <v>3</v>
      </c>
      <c r="L6">
        <f>SUM(L3:L4)</f>
        <v>1.5</v>
      </c>
      <c r="O6">
        <f>SUM(O3:O4)</f>
        <v>2</v>
      </c>
      <c r="P6">
        <f>SUM(P3:P4)</f>
        <v>2</v>
      </c>
    </row>
    <row r="7" spans="2:16" hidden="1" x14ac:dyDescent="0.2"/>
    <row r="8" spans="2:16" hidden="1" x14ac:dyDescent="0.2">
      <c r="C8" s="8">
        <f>C3/C$6</f>
        <v>0.5</v>
      </c>
      <c r="D8" s="8">
        <f>D3/D$6</f>
        <v>0.5</v>
      </c>
      <c r="G8" s="8">
        <f>G3/G$6</f>
        <v>0.66666666666666663</v>
      </c>
      <c r="H8" s="8">
        <f>H3/H$6</f>
        <v>0.66666666666666663</v>
      </c>
      <c r="K8" s="8">
        <f>K3/K$6</f>
        <v>0.33333333333333331</v>
      </c>
      <c r="L8" s="8">
        <f>L3/L$6</f>
        <v>0.33333333333333331</v>
      </c>
      <c r="O8" s="8">
        <f>O3/O$6</f>
        <v>0.5</v>
      </c>
      <c r="P8" s="8">
        <f>P3/P$6</f>
        <v>0.5</v>
      </c>
    </row>
    <row r="9" spans="2:16" hidden="1" x14ac:dyDescent="0.2">
      <c r="C9" s="8">
        <f>C4/C$6</f>
        <v>0.5</v>
      </c>
      <c r="D9" s="8">
        <f>D4/D$6</f>
        <v>0.5</v>
      </c>
      <c r="G9" s="8">
        <f>G4/G$6</f>
        <v>0.33333333333333331</v>
      </c>
      <c r="H9" s="8">
        <f>H4/H$6</f>
        <v>0.33333333333333331</v>
      </c>
      <c r="K9" s="8">
        <f>K4/K$6</f>
        <v>0.66666666666666663</v>
      </c>
      <c r="L9" s="8">
        <f>L4/L$6</f>
        <v>0.66666666666666663</v>
      </c>
      <c r="O9" s="8">
        <f>O4/O$6</f>
        <v>0.5</v>
      </c>
      <c r="P9" s="8">
        <f>P4/P$6</f>
        <v>0.5</v>
      </c>
    </row>
    <row r="10" spans="2:16" hidden="1" x14ac:dyDescent="0.2"/>
    <row r="11" spans="2:16" x14ac:dyDescent="0.2">
      <c r="C11" s="8" t="str">
        <f>B3</f>
        <v>vrijeme</v>
      </c>
      <c r="D11" s="8">
        <f>AVERAGE(C8:D8)</f>
        <v>0.5</v>
      </c>
      <c r="G11" s="8" t="str">
        <f>F3</f>
        <v>vrijeme</v>
      </c>
      <c r="H11" s="8">
        <f>AVERAGE(G8:H8)</f>
        <v>0.66666666666666663</v>
      </c>
      <c r="K11" s="8" t="str">
        <f>J3</f>
        <v>vrijeme</v>
      </c>
      <c r="L11" s="8">
        <f>AVERAGE(K8:L8)</f>
        <v>0.33333333333333331</v>
      </c>
      <c r="O11" s="8" t="str">
        <f>N3</f>
        <v>vrijeme</v>
      </c>
      <c r="P11" s="11">
        <f>AVERAGE(O8:P8)</f>
        <v>0.5</v>
      </c>
    </row>
    <row r="12" spans="2:16" x14ac:dyDescent="0.2">
      <c r="C12" s="8" t="str">
        <f>B4</f>
        <v>auto</v>
      </c>
      <c r="D12" s="8">
        <f>AVERAGE(C9:D9)</f>
        <v>0.5</v>
      </c>
      <c r="G12" s="8" t="str">
        <f>F4</f>
        <v>auto</v>
      </c>
      <c r="H12" s="8">
        <f>AVERAGE(G9:H9)</f>
        <v>0.33333333333333331</v>
      </c>
      <c r="K12" s="8" t="str">
        <f>J4</f>
        <v>auto</v>
      </c>
      <c r="L12" s="8">
        <f>AVERAGE(K9:L9)</f>
        <v>0.66666666666666663</v>
      </c>
      <c r="O12" s="8" t="str">
        <f>N4</f>
        <v>auto</v>
      </c>
      <c r="P12" s="11">
        <f>AVERAGE(O9:P9)</f>
        <v>0.5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0257-51FE-F845-B630-C6421FCEFEAC}">
  <dimension ref="B2:P12"/>
  <sheetViews>
    <sheetView workbookViewId="0">
      <selection activeCell="H20" sqref="H20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podrška</v>
      </c>
      <c r="D2" s="8" t="str">
        <f>B4</f>
        <v>broj ljudi</v>
      </c>
      <c r="F2" s="8"/>
      <c r="G2" s="8" t="str">
        <f>F3</f>
        <v>podrška</v>
      </c>
      <c r="H2" s="8" t="str">
        <f>F4</f>
        <v>broj ljudi</v>
      </c>
      <c r="J2" s="8"/>
      <c r="K2" s="8" t="str">
        <f>J3</f>
        <v>podrška</v>
      </c>
      <c r="L2" s="8" t="str">
        <f>J4</f>
        <v>broj ljudi</v>
      </c>
      <c r="N2" s="8"/>
      <c r="O2" s="8" t="str">
        <f>N3</f>
        <v>podrška</v>
      </c>
      <c r="P2" s="8" t="str">
        <f>N4</f>
        <v>broj ljudi</v>
      </c>
    </row>
    <row r="3" spans="2:16" x14ac:dyDescent="0.2">
      <c r="B3" s="9" t="s">
        <v>67</v>
      </c>
      <c r="C3" s="8">
        <v>1</v>
      </c>
      <c r="D3" s="8">
        <v>1</v>
      </c>
      <c r="F3" s="8" t="str">
        <f>B3</f>
        <v>podrška</v>
      </c>
      <c r="G3" s="8">
        <v>1</v>
      </c>
      <c r="H3" s="8">
        <f>1/2</f>
        <v>0.5</v>
      </c>
      <c r="J3" s="8" t="str">
        <f>F3</f>
        <v>podrška</v>
      </c>
      <c r="K3" s="8">
        <v>1</v>
      </c>
      <c r="L3" s="8">
        <v>2</v>
      </c>
      <c r="N3" s="8" t="str">
        <f>J3</f>
        <v>podrška</v>
      </c>
      <c r="O3" s="8">
        <f>GEOMEAN(C3,G3,K3)</f>
        <v>1</v>
      </c>
      <c r="P3" s="8">
        <f>GEOMEAN(D3,H3,L3)</f>
        <v>1</v>
      </c>
    </row>
    <row r="4" spans="2:16" x14ac:dyDescent="0.2">
      <c r="B4" s="9" t="s">
        <v>68</v>
      </c>
      <c r="C4" s="8">
        <v>1</v>
      </c>
      <c r="D4" s="8">
        <v>1</v>
      </c>
      <c r="F4" s="8" t="str">
        <f>B4</f>
        <v>broj ljudi</v>
      </c>
      <c r="G4" s="8">
        <v>2</v>
      </c>
      <c r="H4" s="8">
        <v>1</v>
      </c>
      <c r="J4" s="8" t="str">
        <f>F4</f>
        <v>broj ljudi</v>
      </c>
      <c r="K4" s="8">
        <f>1/2</f>
        <v>0.5</v>
      </c>
      <c r="L4" s="8">
        <v>1</v>
      </c>
      <c r="N4" s="8" t="str">
        <f>J4</f>
        <v>broj ljudi</v>
      </c>
      <c r="O4" s="8">
        <f>GEOMEAN(C4,G4,K4)</f>
        <v>1</v>
      </c>
      <c r="P4" s="8">
        <f>GEOMEAN(D4,H4,L4)</f>
        <v>1</v>
      </c>
    </row>
    <row r="6" spans="2:16" hidden="1" x14ac:dyDescent="0.2">
      <c r="C6">
        <f>SUM(C3:C4)</f>
        <v>2</v>
      </c>
      <c r="D6">
        <f>SUM(D3:D4)</f>
        <v>2</v>
      </c>
      <c r="G6">
        <f>SUM(G3:G4)</f>
        <v>3</v>
      </c>
      <c r="H6">
        <f>SUM(H3:H4)</f>
        <v>1.5</v>
      </c>
      <c r="K6">
        <f>SUM(K3:K4)</f>
        <v>1.5</v>
      </c>
      <c r="L6">
        <f>SUM(L3:L4)</f>
        <v>3</v>
      </c>
      <c r="O6">
        <f>SUM(O3:O4)</f>
        <v>2</v>
      </c>
      <c r="P6">
        <f>SUM(P3:P4)</f>
        <v>2</v>
      </c>
    </row>
    <row r="7" spans="2:16" hidden="1" x14ac:dyDescent="0.2"/>
    <row r="8" spans="2:16" hidden="1" x14ac:dyDescent="0.2">
      <c r="C8" s="8">
        <f>C3/C$6</f>
        <v>0.5</v>
      </c>
      <c r="D8" s="8">
        <f>D3/D$6</f>
        <v>0.5</v>
      </c>
      <c r="G8" s="8">
        <f>G3/G$6</f>
        <v>0.33333333333333331</v>
      </c>
      <c r="H8" s="8">
        <f>H3/H$6</f>
        <v>0.33333333333333331</v>
      </c>
      <c r="K8" s="8">
        <f>K3/K$6</f>
        <v>0.66666666666666663</v>
      </c>
      <c r="L8" s="8">
        <f>L3/L$6</f>
        <v>0.66666666666666663</v>
      </c>
      <c r="O8" s="8">
        <f>O3/O$6</f>
        <v>0.5</v>
      </c>
      <c r="P8" s="8">
        <f>P3/P$6</f>
        <v>0.5</v>
      </c>
    </row>
    <row r="9" spans="2:16" hidden="1" x14ac:dyDescent="0.2">
      <c r="C9" s="8">
        <f>C4/C$6</f>
        <v>0.5</v>
      </c>
      <c r="D9" s="8">
        <f>D4/D$6</f>
        <v>0.5</v>
      </c>
      <c r="G9" s="8">
        <f>G4/G$6</f>
        <v>0.66666666666666663</v>
      </c>
      <c r="H9" s="8">
        <f>H4/H$6</f>
        <v>0.66666666666666663</v>
      </c>
      <c r="K9" s="8">
        <f>K4/K$6</f>
        <v>0.33333333333333331</v>
      </c>
      <c r="L9" s="8">
        <f>L4/L$6</f>
        <v>0.33333333333333331</v>
      </c>
      <c r="O9" s="8">
        <f>O4/O$6</f>
        <v>0.5</v>
      </c>
      <c r="P9" s="8">
        <f>P4/P$6</f>
        <v>0.5</v>
      </c>
    </row>
    <row r="10" spans="2:16" hidden="1" x14ac:dyDescent="0.2"/>
    <row r="11" spans="2:16" x14ac:dyDescent="0.2">
      <c r="C11" s="8" t="str">
        <f>B3</f>
        <v>podrška</v>
      </c>
      <c r="D11" s="8">
        <f>AVERAGE(C8:D8)</f>
        <v>0.5</v>
      </c>
      <c r="G11" s="8" t="str">
        <f>F3</f>
        <v>podrška</v>
      </c>
      <c r="H11" s="8">
        <f>AVERAGE(G8:H8)</f>
        <v>0.33333333333333331</v>
      </c>
      <c r="K11" s="8" t="str">
        <f>J3</f>
        <v>podrška</v>
      </c>
      <c r="L11" s="8">
        <f>AVERAGE(K8:L8)</f>
        <v>0.66666666666666663</v>
      </c>
      <c r="O11" s="8" t="str">
        <f>N3</f>
        <v>podrška</v>
      </c>
      <c r="P11" s="11">
        <f>AVERAGE(O8:P8)</f>
        <v>0.5</v>
      </c>
    </row>
    <row r="12" spans="2:16" x14ac:dyDescent="0.2">
      <c r="C12" s="8" t="str">
        <f>B4</f>
        <v>broj ljudi</v>
      </c>
      <c r="D12" s="8">
        <f>AVERAGE(C9:D9)</f>
        <v>0.5</v>
      </c>
      <c r="G12" s="8" t="str">
        <f>F4</f>
        <v>broj ljudi</v>
      </c>
      <c r="H12" s="8">
        <f>AVERAGE(G9:H9)</f>
        <v>0.66666666666666663</v>
      </c>
      <c r="K12" s="8" t="str">
        <f>J4</f>
        <v>broj ljudi</v>
      </c>
      <c r="L12" s="8">
        <f>AVERAGE(K9:L9)</f>
        <v>0.33333333333333331</v>
      </c>
      <c r="O12" s="8" t="str">
        <f>N4</f>
        <v>broj ljudi</v>
      </c>
      <c r="P12" s="11">
        <f>AVERAGE(O9:P9)</f>
        <v>0.5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8D0E-1FA1-8847-BC14-34E450D6E768}">
  <dimension ref="B2:P12"/>
  <sheetViews>
    <sheetView workbookViewId="0">
      <selection activeCell="O44" sqref="O44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impl</v>
      </c>
      <c r="D2" s="8" t="str">
        <f>B4</f>
        <v>integ</v>
      </c>
      <c r="F2" s="8"/>
      <c r="G2" s="8" t="str">
        <f>F3</f>
        <v>impl</v>
      </c>
      <c r="H2" s="8" t="str">
        <f>F4</f>
        <v>integ</v>
      </c>
      <c r="J2" s="8"/>
      <c r="K2" s="8" t="str">
        <f>J3</f>
        <v>impl</v>
      </c>
      <c r="L2" s="8" t="str">
        <f>J4</f>
        <v>integ</v>
      </c>
      <c r="N2" s="8"/>
      <c r="O2" s="8" t="str">
        <f>N3</f>
        <v>impl</v>
      </c>
      <c r="P2" s="8" t="str">
        <f>N4</f>
        <v>integ</v>
      </c>
    </row>
    <row r="3" spans="2:16" x14ac:dyDescent="0.2">
      <c r="B3" s="9" t="s">
        <v>69</v>
      </c>
      <c r="C3" s="8">
        <v>1</v>
      </c>
      <c r="D3" s="8">
        <v>1</v>
      </c>
      <c r="F3" s="8" t="str">
        <f>B3</f>
        <v>impl</v>
      </c>
      <c r="G3" s="8">
        <v>1</v>
      </c>
      <c r="H3" s="8">
        <f>1/3</f>
        <v>0.33333333333333331</v>
      </c>
      <c r="J3" s="8" t="str">
        <f>F3</f>
        <v>impl</v>
      </c>
      <c r="K3" s="8">
        <v>1</v>
      </c>
      <c r="L3" s="8">
        <f>1/4</f>
        <v>0.25</v>
      </c>
      <c r="N3" s="8" t="str">
        <f>J3</f>
        <v>impl</v>
      </c>
      <c r="O3" s="8">
        <f>GEOMEAN(C3,G3,K3)</f>
        <v>1</v>
      </c>
      <c r="P3" s="8">
        <f>GEOMEAN(D3,H3,L3)</f>
        <v>0.43679023236814946</v>
      </c>
    </row>
    <row r="4" spans="2:16" x14ac:dyDescent="0.2">
      <c r="B4" s="9" t="s">
        <v>70</v>
      </c>
      <c r="C4" s="8">
        <v>1</v>
      </c>
      <c r="D4" s="8">
        <v>1</v>
      </c>
      <c r="F4" s="8" t="str">
        <f>B4</f>
        <v>integ</v>
      </c>
      <c r="G4" s="8">
        <v>3</v>
      </c>
      <c r="H4" s="8">
        <v>1</v>
      </c>
      <c r="J4" s="8" t="str">
        <f>F4</f>
        <v>integ</v>
      </c>
      <c r="K4" s="8">
        <v>4</v>
      </c>
      <c r="L4" s="8">
        <v>1</v>
      </c>
      <c r="N4" s="8" t="str">
        <f>J4</f>
        <v>integ</v>
      </c>
      <c r="O4" s="8">
        <f>GEOMEAN(C4,G4,K4)</f>
        <v>2.2894284851066637</v>
      </c>
      <c r="P4" s="8">
        <f>GEOMEAN(D4,H4,L4)</f>
        <v>1</v>
      </c>
    </row>
    <row r="6" spans="2:16" hidden="1" x14ac:dyDescent="0.2">
      <c r="C6">
        <f>SUM(C3:C4)</f>
        <v>2</v>
      </c>
      <c r="D6">
        <f>SUM(D3:D4)</f>
        <v>2</v>
      </c>
      <c r="G6">
        <f>SUM(G3:G4)</f>
        <v>4</v>
      </c>
      <c r="H6">
        <f>SUM(H3:H4)</f>
        <v>1.3333333333333333</v>
      </c>
      <c r="K6">
        <f>SUM(K3:K4)</f>
        <v>5</v>
      </c>
      <c r="L6">
        <f>SUM(L3:L4)</f>
        <v>1.25</v>
      </c>
      <c r="O6">
        <f>SUM(O3:O4)</f>
        <v>3.2894284851066637</v>
      </c>
      <c r="P6">
        <f>SUM(P3:P4)</f>
        <v>1.4367902323681494</v>
      </c>
    </row>
    <row r="7" spans="2:16" hidden="1" x14ac:dyDescent="0.2"/>
    <row r="8" spans="2:16" hidden="1" x14ac:dyDescent="0.2">
      <c r="C8" s="8">
        <f>C3/C$6</f>
        <v>0.5</v>
      </c>
      <c r="D8" s="8">
        <f>D3/D$6</f>
        <v>0.5</v>
      </c>
      <c r="G8" s="8">
        <f>G3/G$6</f>
        <v>0.25</v>
      </c>
      <c r="H8" s="8">
        <f>H3/H$6</f>
        <v>0.25</v>
      </c>
      <c r="K8" s="8">
        <f>K3/K$6</f>
        <v>0.2</v>
      </c>
      <c r="L8" s="8">
        <f>L3/L$6</f>
        <v>0.2</v>
      </c>
      <c r="O8" s="8">
        <f>O3/O$6</f>
        <v>0.30400417717777917</v>
      </c>
      <c r="P8" s="8">
        <f>P3/P$6</f>
        <v>0.30400417717777922</v>
      </c>
    </row>
    <row r="9" spans="2:16" hidden="1" x14ac:dyDescent="0.2">
      <c r="C9" s="8">
        <f>C4/C$6</f>
        <v>0.5</v>
      </c>
      <c r="D9" s="8">
        <f>D4/D$6</f>
        <v>0.5</v>
      </c>
      <c r="G9" s="8">
        <f>G4/G$6</f>
        <v>0.75</v>
      </c>
      <c r="H9" s="8">
        <f>H4/H$6</f>
        <v>0.75</v>
      </c>
      <c r="K9" s="8">
        <f>K4/K$6</f>
        <v>0.8</v>
      </c>
      <c r="L9" s="8">
        <f>L4/L$6</f>
        <v>0.8</v>
      </c>
      <c r="O9" s="8">
        <f>O4/O$6</f>
        <v>0.69599582282222083</v>
      </c>
      <c r="P9" s="8">
        <f>P4/P$6</f>
        <v>0.69599582282222083</v>
      </c>
    </row>
    <row r="10" spans="2:16" hidden="1" x14ac:dyDescent="0.2"/>
    <row r="11" spans="2:16" x14ac:dyDescent="0.2">
      <c r="C11" s="8" t="str">
        <f>B3</f>
        <v>impl</v>
      </c>
      <c r="D11" s="8">
        <f>AVERAGE(C8:D8)</f>
        <v>0.5</v>
      </c>
      <c r="G11" s="8" t="str">
        <f>F3</f>
        <v>impl</v>
      </c>
      <c r="H11" s="8">
        <f>AVERAGE(G8:H8)</f>
        <v>0.25</v>
      </c>
      <c r="K11" s="8" t="str">
        <f>J3</f>
        <v>impl</v>
      </c>
      <c r="L11" s="8">
        <f>AVERAGE(K8:L8)</f>
        <v>0.2</v>
      </c>
      <c r="O11" s="8" t="str">
        <f>N3</f>
        <v>impl</v>
      </c>
      <c r="P11" s="11">
        <f>AVERAGE(O8:P8)</f>
        <v>0.30400417717777917</v>
      </c>
    </row>
    <row r="12" spans="2:16" x14ac:dyDescent="0.2">
      <c r="C12" s="8" t="str">
        <f>B4</f>
        <v>integ</v>
      </c>
      <c r="D12" s="8">
        <f>AVERAGE(C9:D9)</f>
        <v>0.5</v>
      </c>
      <c r="G12" s="8" t="str">
        <f>F4</f>
        <v>integ</v>
      </c>
      <c r="H12" s="8">
        <f>AVERAGE(G9:H9)</f>
        <v>0.75</v>
      </c>
      <c r="K12" s="8" t="str">
        <f>J4</f>
        <v>integ</v>
      </c>
      <c r="L12" s="8">
        <f>AVERAGE(K9:L9)</f>
        <v>0.8</v>
      </c>
      <c r="O12" s="8" t="str">
        <f>N4</f>
        <v>integ</v>
      </c>
      <c r="P12" s="11">
        <f>AVERAGE(O9:P9)</f>
        <v>0.69599582282222083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5E70-DD38-3E4B-891E-3B256F937443}">
  <dimension ref="B3:T33"/>
  <sheetViews>
    <sheetView zoomScale="108" workbookViewId="0">
      <selection activeCell="M47" sqref="M47"/>
    </sheetView>
  </sheetViews>
  <sheetFormatPr baseColWidth="10" defaultColWidth="8.83203125" defaultRowHeight="15" x14ac:dyDescent="0.2"/>
  <sheetData>
    <row r="3" spans="2:20" x14ac:dyDescent="0.2">
      <c r="B3" s="8"/>
      <c r="C3" s="8" t="str">
        <f>B4</f>
        <v>50k</v>
      </c>
      <c r="D3" s="8" t="str">
        <f>B5</f>
        <v>30k</v>
      </c>
      <c r="E3" s="8" t="str">
        <f>B6</f>
        <v>10k</v>
      </c>
      <c r="G3" s="8"/>
      <c r="H3" s="8" t="str">
        <f>G4</f>
        <v>50k</v>
      </c>
      <c r="I3" s="8" t="str">
        <f>G5</f>
        <v>30k</v>
      </c>
      <c r="J3" s="8" t="str">
        <f>G6</f>
        <v>10k</v>
      </c>
      <c r="L3" s="8"/>
      <c r="M3" s="8" t="str">
        <f>L4</f>
        <v>50k</v>
      </c>
      <c r="N3" s="8" t="str">
        <f>L5</f>
        <v>30k</v>
      </c>
      <c r="O3" s="8" t="str">
        <f>L6</f>
        <v>10k</v>
      </c>
      <c r="Q3" s="8"/>
      <c r="R3" s="8" t="str">
        <f>Q4</f>
        <v>50k</v>
      </c>
      <c r="S3" s="8" t="str">
        <f>Q5</f>
        <v>30k</v>
      </c>
      <c r="T3" s="8" t="str">
        <f>Q6</f>
        <v>10k</v>
      </c>
    </row>
    <row r="4" spans="2:20" x14ac:dyDescent="0.2">
      <c r="B4" s="9" t="s">
        <v>71</v>
      </c>
      <c r="C4" s="8">
        <v>1</v>
      </c>
      <c r="D4" s="8">
        <f>1/4</f>
        <v>0.25</v>
      </c>
      <c r="E4" s="8">
        <f>1/7</f>
        <v>0.14285714285714285</v>
      </c>
      <c r="G4" s="8" t="str">
        <f>B4</f>
        <v>50k</v>
      </c>
      <c r="H4" s="8">
        <v>1</v>
      </c>
      <c r="I4" s="8">
        <f>1/5</f>
        <v>0.2</v>
      </c>
      <c r="J4" s="8">
        <f>1/8</f>
        <v>0.125</v>
      </c>
      <c r="L4" s="8" t="str">
        <f>G4</f>
        <v>50k</v>
      </c>
      <c r="M4" s="8">
        <v>1</v>
      </c>
      <c r="N4" s="8">
        <f>1/3</f>
        <v>0.33333333333333331</v>
      </c>
      <c r="O4" s="8">
        <f>1/5</f>
        <v>0.2</v>
      </c>
      <c r="Q4" s="8" t="str">
        <f>L4</f>
        <v>50k</v>
      </c>
      <c r="R4" s="8">
        <f>GEOMEAN(C4,H4,M4)</f>
        <v>1</v>
      </c>
      <c r="S4" s="8">
        <f t="shared" ref="S4:T6" si="0">GEOMEAN(D4,I4,N4)</f>
        <v>0.2554364774645177</v>
      </c>
      <c r="T4" s="8">
        <f t="shared" si="0"/>
        <v>0.15285535436643993</v>
      </c>
    </row>
    <row r="5" spans="2:20" x14ac:dyDescent="0.2">
      <c r="B5" s="9" t="s">
        <v>72</v>
      </c>
      <c r="C5" s="8">
        <v>4</v>
      </c>
      <c r="D5" s="8">
        <v>1</v>
      </c>
      <c r="E5" s="8">
        <f>1/4</f>
        <v>0.25</v>
      </c>
      <c r="G5" s="8" t="str">
        <f t="shared" ref="G5:G6" si="1">B5</f>
        <v>30k</v>
      </c>
      <c r="H5" s="8">
        <v>5</v>
      </c>
      <c r="I5" s="8">
        <v>1</v>
      </c>
      <c r="J5" s="8">
        <f>1/4</f>
        <v>0.25</v>
      </c>
      <c r="L5" s="8" t="str">
        <f t="shared" ref="L5:L6" si="2">G5</f>
        <v>30k</v>
      </c>
      <c r="M5" s="8">
        <v>3</v>
      </c>
      <c r="N5" s="8">
        <v>1</v>
      </c>
      <c r="O5" s="8">
        <f>1/2</f>
        <v>0.5</v>
      </c>
      <c r="Q5" s="8" t="str">
        <f t="shared" ref="Q5:Q6" si="3">L5</f>
        <v>30k</v>
      </c>
      <c r="R5" s="8">
        <f t="shared" ref="R5:R6" si="4">GEOMEAN(C5,H5,M5)</f>
        <v>3.9148676411688634</v>
      </c>
      <c r="S5" s="8">
        <f t="shared" si="0"/>
        <v>1</v>
      </c>
      <c r="T5" s="8">
        <f t="shared" si="0"/>
        <v>0.3149802624737183</v>
      </c>
    </row>
    <row r="6" spans="2:20" x14ac:dyDescent="0.2">
      <c r="B6" s="9" t="s">
        <v>73</v>
      </c>
      <c r="C6" s="8">
        <v>7</v>
      </c>
      <c r="D6" s="8">
        <v>4</v>
      </c>
      <c r="E6" s="8">
        <v>1</v>
      </c>
      <c r="G6" s="8" t="str">
        <f t="shared" si="1"/>
        <v>10k</v>
      </c>
      <c r="H6" s="8">
        <v>8</v>
      </c>
      <c r="I6" s="8">
        <v>4</v>
      </c>
      <c r="J6" s="8">
        <v>1</v>
      </c>
      <c r="L6" s="8" t="str">
        <f t="shared" si="2"/>
        <v>10k</v>
      </c>
      <c r="M6" s="8">
        <v>5</v>
      </c>
      <c r="N6" s="8">
        <v>2</v>
      </c>
      <c r="O6" s="8">
        <v>1</v>
      </c>
      <c r="Q6" s="8" t="str">
        <f t="shared" si="3"/>
        <v>10k</v>
      </c>
      <c r="R6" s="8">
        <f t="shared" si="4"/>
        <v>6.5421326203771795</v>
      </c>
      <c r="S6" s="8">
        <f t="shared" si="0"/>
        <v>3.1748021039363987</v>
      </c>
      <c r="T6" s="8">
        <f t="shared" si="0"/>
        <v>1</v>
      </c>
    </row>
    <row r="8" spans="2:20" hidden="1" x14ac:dyDescent="0.2">
      <c r="C8" s="8">
        <f>SUM(C4:C6)</f>
        <v>12</v>
      </c>
      <c r="D8" s="8">
        <f t="shared" ref="D8:E8" si="5">SUM(D4:D6)</f>
        <v>5.25</v>
      </c>
      <c r="E8" s="8">
        <f t="shared" si="5"/>
        <v>1.3928571428571428</v>
      </c>
      <c r="H8" s="8">
        <f>SUM(H4:H6)</f>
        <v>14</v>
      </c>
      <c r="I8" s="8">
        <f t="shared" ref="I8:J8" si="6">SUM(I4:I6)</f>
        <v>5.2</v>
      </c>
      <c r="J8" s="8">
        <f t="shared" si="6"/>
        <v>1.375</v>
      </c>
      <c r="M8" s="8">
        <f>SUM(M4:M6)</f>
        <v>9</v>
      </c>
      <c r="N8" s="8">
        <f t="shared" ref="N8:O8" si="7">SUM(N4:N6)</f>
        <v>3.333333333333333</v>
      </c>
      <c r="O8" s="8">
        <f t="shared" si="7"/>
        <v>1.7</v>
      </c>
      <c r="R8" s="8">
        <f>SUM(R4:R6)</f>
        <v>11.457000261546042</v>
      </c>
      <c r="S8" s="8">
        <f t="shared" ref="S8:T8" si="8">SUM(S4:S6)</f>
        <v>4.430238581400916</v>
      </c>
      <c r="T8" s="8">
        <f t="shared" si="8"/>
        <v>1.4678356168401583</v>
      </c>
    </row>
    <row r="9" spans="2:20" hidden="1" x14ac:dyDescent="0.2"/>
    <row r="10" spans="2:20" hidden="1" x14ac:dyDescent="0.2"/>
    <row r="11" spans="2:20" hidden="1" x14ac:dyDescent="0.2">
      <c r="C11" s="8">
        <f>C4/C$8</f>
        <v>8.3333333333333329E-2</v>
      </c>
      <c r="D11" s="8">
        <f>D4/D$8</f>
        <v>4.7619047619047616E-2</v>
      </c>
      <c r="E11" s="8">
        <f>E4/E$8</f>
        <v>0.10256410256410256</v>
      </c>
      <c r="H11" s="8">
        <f>H4/H$8</f>
        <v>7.1428571428571425E-2</v>
      </c>
      <c r="I11" s="8">
        <f>I4/I$8</f>
        <v>3.8461538461538464E-2</v>
      </c>
      <c r="J11" s="8">
        <f>J4/J$8</f>
        <v>9.0909090909090912E-2</v>
      </c>
      <c r="M11" s="8">
        <f>M4/M$8</f>
        <v>0.1111111111111111</v>
      </c>
      <c r="N11" s="8">
        <f>N4/N$8</f>
        <v>0.1</v>
      </c>
      <c r="O11" s="8">
        <f>O4/O$8</f>
        <v>0.11764705882352942</v>
      </c>
      <c r="R11" s="8">
        <f>R4/R$8</f>
        <v>8.7282881833944989E-2</v>
      </c>
      <c r="S11" s="8">
        <f>S4/S$8</f>
        <v>5.7657499200357822E-2</v>
      </c>
      <c r="T11" s="8">
        <f>T4/T$8</f>
        <v>0.10413656175988902</v>
      </c>
    </row>
    <row r="12" spans="2:20" hidden="1" x14ac:dyDescent="0.2">
      <c r="C12" s="8">
        <f t="shared" ref="C12:E13" si="9">C5/C$8</f>
        <v>0.33333333333333331</v>
      </c>
      <c r="D12" s="8">
        <f t="shared" si="9"/>
        <v>0.19047619047619047</v>
      </c>
      <c r="E12" s="8">
        <f t="shared" si="9"/>
        <v>0.17948717948717949</v>
      </c>
      <c r="H12" s="8">
        <f t="shared" ref="H12:J13" si="10">H5/H$8</f>
        <v>0.35714285714285715</v>
      </c>
      <c r="I12" s="8">
        <f t="shared" si="10"/>
        <v>0.19230769230769229</v>
      </c>
      <c r="J12" s="8">
        <f t="shared" si="10"/>
        <v>0.18181818181818182</v>
      </c>
      <c r="M12" s="8">
        <f t="shared" ref="M12:O13" si="11">M5/M$8</f>
        <v>0.33333333333333331</v>
      </c>
      <c r="N12" s="8">
        <f t="shared" si="11"/>
        <v>0.30000000000000004</v>
      </c>
      <c r="O12" s="8">
        <f t="shared" si="11"/>
        <v>0.29411764705882354</v>
      </c>
      <c r="R12" s="8">
        <f t="shared" ref="R12:T13" si="12">R5/R$8</f>
        <v>0.34170092971967686</v>
      </c>
      <c r="S12" s="8">
        <f t="shared" si="12"/>
        <v>0.22572147789020047</v>
      </c>
      <c r="T12" s="8">
        <f t="shared" si="12"/>
        <v>0.21458824057681825</v>
      </c>
    </row>
    <row r="13" spans="2:20" hidden="1" x14ac:dyDescent="0.2">
      <c r="C13" s="8">
        <f t="shared" si="9"/>
        <v>0.58333333333333337</v>
      </c>
      <c r="D13" s="8">
        <f t="shared" si="9"/>
        <v>0.76190476190476186</v>
      </c>
      <c r="E13" s="8">
        <f t="shared" si="9"/>
        <v>0.71794871794871795</v>
      </c>
      <c r="H13" s="8">
        <f t="shared" si="10"/>
        <v>0.5714285714285714</v>
      </c>
      <c r="I13" s="8">
        <f t="shared" si="10"/>
        <v>0.76923076923076916</v>
      </c>
      <c r="J13" s="8">
        <f t="shared" si="10"/>
        <v>0.72727272727272729</v>
      </c>
      <c r="M13" s="8">
        <f t="shared" si="11"/>
        <v>0.55555555555555558</v>
      </c>
      <c r="N13" s="8">
        <f t="shared" si="11"/>
        <v>0.60000000000000009</v>
      </c>
      <c r="O13" s="8">
        <f t="shared" si="11"/>
        <v>0.58823529411764708</v>
      </c>
      <c r="R13" s="8">
        <f t="shared" si="12"/>
        <v>0.57101618844637825</v>
      </c>
      <c r="S13" s="8">
        <f t="shared" si="12"/>
        <v>0.71662102290944174</v>
      </c>
      <c r="T13" s="8">
        <f t="shared" si="12"/>
        <v>0.6812751976632927</v>
      </c>
    </row>
    <row r="14" spans="2:20" hidden="1" x14ac:dyDescent="0.2"/>
    <row r="15" spans="2:20" x14ac:dyDescent="0.2">
      <c r="D15" s="8" t="str">
        <f>B4</f>
        <v>50k</v>
      </c>
      <c r="E15" s="8">
        <f>AVERAGE(C11:E11)</f>
        <v>7.7838827838827826E-2</v>
      </c>
      <c r="I15" s="8" t="str">
        <f>G4</f>
        <v>50k</v>
      </c>
      <c r="J15" s="8">
        <f>AVERAGE(H11:J11)</f>
        <v>6.6933066933066929E-2</v>
      </c>
      <c r="N15" s="8" t="str">
        <f>L4</f>
        <v>50k</v>
      </c>
      <c r="O15" s="8">
        <f>AVERAGE(M11:O11)</f>
        <v>0.10958605664488018</v>
      </c>
      <c r="S15" s="8" t="str">
        <f>Q4</f>
        <v>50k</v>
      </c>
      <c r="T15" s="11">
        <f>AVERAGE(R11:T11)</f>
        <v>8.3025647598063954E-2</v>
      </c>
    </row>
    <row r="16" spans="2:20" x14ac:dyDescent="0.2">
      <c r="D16" s="8" t="str">
        <f t="shared" ref="D16:D17" si="13">B5</f>
        <v>30k</v>
      </c>
      <c r="E16" s="8">
        <f t="shared" ref="E16:E17" si="14">AVERAGE(C12:E12)</f>
        <v>0.2344322344322344</v>
      </c>
      <c r="I16" s="8" t="str">
        <f t="shared" ref="I16:I17" si="15">G5</f>
        <v>30k</v>
      </c>
      <c r="J16" s="8">
        <f t="shared" ref="J16:J17" si="16">AVERAGE(H12:J12)</f>
        <v>0.2437562437562438</v>
      </c>
      <c r="N16" s="8" t="str">
        <f t="shared" ref="N16:N17" si="17">L5</f>
        <v>30k</v>
      </c>
      <c r="O16" s="8">
        <f t="shared" ref="O16:O17" si="18">AVERAGE(M12:O12)</f>
        <v>0.30915032679738563</v>
      </c>
      <c r="S16" s="8" t="str">
        <f t="shared" ref="S16:S17" si="19">Q5</f>
        <v>30k</v>
      </c>
      <c r="T16" s="11">
        <f t="shared" ref="T16:T17" si="20">AVERAGE(R12:T12)</f>
        <v>0.26067021606223184</v>
      </c>
    </row>
    <row r="17" spans="2:20" x14ac:dyDescent="0.2">
      <c r="D17" s="8" t="str">
        <f t="shared" si="13"/>
        <v>10k</v>
      </c>
      <c r="E17" s="8">
        <f t="shared" si="14"/>
        <v>0.68772893772893784</v>
      </c>
      <c r="I17" s="8" t="str">
        <f t="shared" si="15"/>
        <v>10k</v>
      </c>
      <c r="J17" s="8">
        <f t="shared" si="16"/>
        <v>0.68931068931068928</v>
      </c>
      <c r="N17" s="8" t="str">
        <f t="shared" si="17"/>
        <v>10k</v>
      </c>
      <c r="O17" s="8">
        <f t="shared" si="18"/>
        <v>0.58126361655773418</v>
      </c>
      <c r="S17" s="8" t="str">
        <f t="shared" si="19"/>
        <v>10k</v>
      </c>
      <c r="T17" s="11">
        <f t="shared" si="20"/>
        <v>0.6563041363397043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7.7838827838827826E-2</v>
      </c>
      <c r="D21" s="8">
        <f>D4*E$16</f>
        <v>5.8608058608058601E-2</v>
      </c>
      <c r="E21" s="8">
        <f>E4*E$17</f>
        <v>9.8246991104133971E-2</v>
      </c>
      <c r="H21" s="8">
        <f>H4*J$15</f>
        <v>6.6933066933066929E-2</v>
      </c>
      <c r="I21" s="8">
        <f>I4*J$16</f>
        <v>4.8751248751248762E-2</v>
      </c>
      <c r="J21" s="8">
        <f>J4*J$17</f>
        <v>8.6163836163836161E-2</v>
      </c>
      <c r="M21" s="8">
        <f>M4*O$15</f>
        <v>0.10958605664488018</v>
      </c>
      <c r="N21" s="8">
        <f>N4*O$16</f>
        <v>0.10305010893246187</v>
      </c>
      <c r="O21" s="8">
        <f>O4*O$17</f>
        <v>0.11625272331154685</v>
      </c>
      <c r="R21" s="8">
        <f>R4*T$15</f>
        <v>8.3025647598063954E-2</v>
      </c>
      <c r="S21" s="8">
        <f>S4*T$16</f>
        <v>6.6584681770851237E-2</v>
      </c>
      <c r="T21" s="8">
        <f>T4*T$17</f>
        <v>0.10031960133236581</v>
      </c>
    </row>
    <row r="22" spans="2:20" hidden="1" x14ac:dyDescent="0.2">
      <c r="C22" s="8">
        <f t="shared" ref="C22:C23" si="21">C5*E$15</f>
        <v>0.3113553113553113</v>
      </c>
      <c r="D22" s="8">
        <f t="shared" ref="D22:D23" si="22">D5*E$16</f>
        <v>0.2344322344322344</v>
      </c>
      <c r="E22" s="8">
        <f t="shared" ref="E22:E23" si="23">E5*E$17</f>
        <v>0.17193223443223446</v>
      </c>
      <c r="H22" s="8">
        <f t="shared" ref="H22:H23" si="24">H5*J$15</f>
        <v>0.33466533466533466</v>
      </c>
      <c r="I22" s="8">
        <f t="shared" ref="I22:I23" si="25">I5*J$16</f>
        <v>0.2437562437562438</v>
      </c>
      <c r="J22" s="8">
        <f t="shared" ref="J22:J23" si="26">J5*J$17</f>
        <v>0.17232767232767232</v>
      </c>
      <c r="M22" s="8">
        <f t="shared" ref="M22:M23" si="27">M5*O$15</f>
        <v>0.32875816993464052</v>
      </c>
      <c r="N22" s="8">
        <f t="shared" ref="N22:N23" si="28">N5*O$16</f>
        <v>0.30915032679738563</v>
      </c>
      <c r="O22" s="8">
        <f t="shared" ref="O22:O23" si="29">O5*O$17</f>
        <v>0.29063180827886709</v>
      </c>
      <c r="R22" s="8">
        <f t="shared" ref="R22:R23" si="30">R5*T$15</f>
        <v>0.32503442116874992</v>
      </c>
      <c r="S22" s="8">
        <f t="shared" ref="S22:S23" si="31">S5*T$16</f>
        <v>0.26067021606223184</v>
      </c>
      <c r="T22" s="8">
        <f t="shared" ref="T22:T23" si="32">T5*T$17</f>
        <v>0.20672284912686706</v>
      </c>
    </row>
    <row r="23" spans="2:20" hidden="1" x14ac:dyDescent="0.2">
      <c r="C23" s="8">
        <f t="shared" si="21"/>
        <v>0.54487179487179482</v>
      </c>
      <c r="D23" s="8">
        <f t="shared" si="22"/>
        <v>0.93772893772893762</v>
      </c>
      <c r="E23" s="8">
        <f t="shared" si="23"/>
        <v>0.68772893772893784</v>
      </c>
      <c r="H23" s="8">
        <f t="shared" si="24"/>
        <v>0.53546453546453543</v>
      </c>
      <c r="I23" s="8">
        <f t="shared" si="25"/>
        <v>0.9750249750249752</v>
      </c>
      <c r="J23" s="8">
        <f t="shared" si="26"/>
        <v>0.68931068931068928</v>
      </c>
      <c r="M23" s="8">
        <f t="shared" si="27"/>
        <v>0.54793028322440085</v>
      </c>
      <c r="N23" s="8">
        <f t="shared" si="28"/>
        <v>0.61830065359477127</v>
      </c>
      <c r="O23" s="8">
        <f t="shared" si="29"/>
        <v>0.58126361655773418</v>
      </c>
      <c r="R23" s="8">
        <f t="shared" si="30"/>
        <v>0.54316479747923441</v>
      </c>
      <c r="S23" s="8">
        <f t="shared" si="31"/>
        <v>0.82757635038792932</v>
      </c>
      <c r="T23" s="8">
        <f t="shared" si="32"/>
        <v>0.6563041363397043</v>
      </c>
    </row>
    <row r="24" spans="2:20" hidden="1" x14ac:dyDescent="0.2"/>
    <row r="25" spans="2:20" hidden="1" x14ac:dyDescent="0.2">
      <c r="C25" s="8">
        <f>SUM(C21:E21)</f>
        <v>0.23469387755102039</v>
      </c>
      <c r="D25" s="8">
        <f>SUM(C22:E22)</f>
        <v>0.71771978021978022</v>
      </c>
      <c r="E25" s="8">
        <f>SUM(C23:E23)</f>
        <v>2.1703296703296702</v>
      </c>
      <c r="H25" s="8">
        <f>SUM(H21:J21)</f>
        <v>0.20184815184815186</v>
      </c>
      <c r="I25" s="8">
        <f>SUM(H22:J22)</f>
        <v>0.75074925074925081</v>
      </c>
      <c r="J25" s="8">
        <f>SUM(H23:J23)</f>
        <v>2.1998001998002001</v>
      </c>
      <c r="M25" s="8">
        <f>SUM(M21:O21)</f>
        <v>0.3288888888888889</v>
      </c>
      <c r="N25" s="8">
        <f>SUM(M22:O22)</f>
        <v>0.92854030501089313</v>
      </c>
      <c r="O25" s="8">
        <f>SUM(M23:O23)</f>
        <v>1.7474945533769062</v>
      </c>
      <c r="R25" s="8">
        <f>SUM(R21:T21)</f>
        <v>0.249929930701281</v>
      </c>
      <c r="S25" s="8">
        <f>SUM(R22:T22)</f>
        <v>0.79242748635784888</v>
      </c>
      <c r="T25" s="8">
        <f>SUM(R23:T23)</f>
        <v>2.027045284206868</v>
      </c>
    </row>
    <row r="26" spans="2:20" hidden="1" x14ac:dyDescent="0.2"/>
    <row r="27" spans="2:20" hidden="1" x14ac:dyDescent="0.2">
      <c r="C27" s="8">
        <f>E15</f>
        <v>7.7838827838827826E-2</v>
      </c>
      <c r="D27" s="8">
        <f>E16</f>
        <v>0.2344322344322344</v>
      </c>
      <c r="E27" s="8">
        <f>E17</f>
        <v>0.68772893772893784</v>
      </c>
      <c r="H27" s="8">
        <f>J15</f>
        <v>6.6933066933066929E-2</v>
      </c>
      <c r="I27" s="8">
        <f>J16</f>
        <v>0.2437562437562438</v>
      </c>
      <c r="J27" s="8">
        <f>J17</f>
        <v>0.68931068931068928</v>
      </c>
      <c r="M27" s="8">
        <f>O15</f>
        <v>0.10958605664488018</v>
      </c>
      <c r="N27" s="8">
        <f>O16</f>
        <v>0.30915032679738563</v>
      </c>
      <c r="O27" s="8">
        <f>O17</f>
        <v>0.58126361655773418</v>
      </c>
      <c r="R27" s="8">
        <f>T15</f>
        <v>8.3025647598063954E-2</v>
      </c>
      <c r="S27" s="8">
        <f>T16</f>
        <v>0.26067021606223184</v>
      </c>
      <c r="T27" s="8">
        <f>T17</f>
        <v>0.6563041363397043</v>
      </c>
    </row>
    <row r="28" spans="2:20" hidden="1" x14ac:dyDescent="0.2"/>
    <row r="29" spans="2:20" hidden="1" x14ac:dyDescent="0.2">
      <c r="C29" s="8">
        <f>C25/C27</f>
        <v>3.0151260504201685</v>
      </c>
      <c r="D29" s="8">
        <f t="shared" ref="D29:E29" si="33">D25/D27</f>
        <v>3.0615234375000004</v>
      </c>
      <c r="E29" s="8">
        <f t="shared" si="33"/>
        <v>3.1557922769640472</v>
      </c>
      <c r="H29" s="8">
        <f>H25/H27</f>
        <v>3.015671641791045</v>
      </c>
      <c r="I29" s="8">
        <f t="shared" ref="I29:J29" si="34">I25/I27</f>
        <v>3.0799180327868849</v>
      </c>
      <c r="J29" s="8">
        <f t="shared" si="34"/>
        <v>3.1913043478260876</v>
      </c>
      <c r="M29" s="8">
        <f>M25/M27</f>
        <v>3.0011928429423458</v>
      </c>
      <c r="N29" s="8">
        <f t="shared" ref="N29:O29" si="35">N25/N27</f>
        <v>3.0035236081747705</v>
      </c>
      <c r="O29" s="8">
        <f t="shared" si="35"/>
        <v>3.0063718140929536</v>
      </c>
      <c r="R29" s="8">
        <f>R25/R27</f>
        <v>3.0102737880614741</v>
      </c>
      <c r="S29" s="8">
        <f t="shared" ref="S29:T29" si="36">S25/S27</f>
        <v>3.0399617506307912</v>
      </c>
      <c r="T29" s="8">
        <f t="shared" si="36"/>
        <v>3.0885761219058741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3.0774805882947387</v>
      </c>
      <c r="I31" s="8" t="s">
        <v>20</v>
      </c>
      <c r="J31" s="8">
        <f>AVERAGE(H29:J29)</f>
        <v>3.0956313408013387</v>
      </c>
      <c r="N31" s="8" t="s">
        <v>20</v>
      </c>
      <c r="O31" s="8">
        <f>AVERAGE(M29:O29)</f>
        <v>3.0036960884033568</v>
      </c>
      <c r="S31" s="8" t="s">
        <v>20</v>
      </c>
      <c r="T31" s="8">
        <f>AVERAGE(R29:T29)</f>
        <v>3.0462705535327128</v>
      </c>
    </row>
    <row r="32" spans="2:20" hidden="1" x14ac:dyDescent="0.2">
      <c r="D32" s="8" t="s">
        <v>21</v>
      </c>
      <c r="E32" s="8">
        <f>(E31-3)/2</f>
        <v>3.8740294147369347E-2</v>
      </c>
      <c r="I32" s="8" t="s">
        <v>21</v>
      </c>
      <c r="J32" s="8">
        <f>(J31-3)/2</f>
        <v>4.7815670400669363E-2</v>
      </c>
      <c r="N32" s="8" t="s">
        <v>21</v>
      </c>
      <c r="O32" s="8">
        <f>(O31-3)/2</f>
        <v>1.8480442016783893E-3</v>
      </c>
      <c r="S32" s="8" t="s">
        <v>21</v>
      </c>
      <c r="T32" s="8">
        <f>(T31-3)/2</f>
        <v>2.3135276766356405E-2</v>
      </c>
    </row>
    <row r="33" spans="4:20" x14ac:dyDescent="0.2">
      <c r="D33" s="8" t="s">
        <v>22</v>
      </c>
      <c r="E33" s="8">
        <f>E32/0.52</f>
        <v>7.4500565668017979E-2</v>
      </c>
      <c r="I33" s="8" t="s">
        <v>22</v>
      </c>
      <c r="J33" s="8">
        <f>J32/0.52</f>
        <v>9.1953212308979543E-2</v>
      </c>
      <c r="N33" s="8" t="s">
        <v>22</v>
      </c>
      <c r="O33" s="8">
        <f>O32/0.52</f>
        <v>3.5539311570738255E-3</v>
      </c>
      <c r="S33" s="8" t="s">
        <v>22</v>
      </c>
      <c r="T33" s="8">
        <f>T32/0.52</f>
        <v>4.4490916858377701E-2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4601-0B8E-4D44-A895-FA9863D0302F}">
  <dimension ref="B3:T33"/>
  <sheetViews>
    <sheetView zoomScale="142" workbookViewId="0">
      <selection activeCell="P16" sqref="P16"/>
    </sheetView>
  </sheetViews>
  <sheetFormatPr baseColWidth="10" defaultColWidth="8.83203125" defaultRowHeight="15" x14ac:dyDescent="0.2"/>
  <sheetData>
    <row r="3" spans="2:20" x14ac:dyDescent="0.2">
      <c r="B3" s="8"/>
      <c r="C3" s="8" t="str">
        <f>B4</f>
        <v>10k</v>
      </c>
      <c r="D3" s="8" t="str">
        <f>B5</f>
        <v>6k</v>
      </c>
      <c r="E3" s="8" t="str">
        <f>B6</f>
        <v>3k</v>
      </c>
      <c r="G3" s="8"/>
      <c r="H3" s="8" t="str">
        <f>G4</f>
        <v>10k</v>
      </c>
      <c r="I3" s="8" t="str">
        <f>G5</f>
        <v>6k</v>
      </c>
      <c r="J3" s="8" t="str">
        <f>G6</f>
        <v>3k</v>
      </c>
      <c r="L3" s="8"/>
      <c r="M3" s="8" t="str">
        <f>L4</f>
        <v>10k</v>
      </c>
      <c r="N3" s="8" t="str">
        <f>L5</f>
        <v>6k</v>
      </c>
      <c r="O3" s="8" t="str">
        <f>L6</f>
        <v>3k</v>
      </c>
      <c r="Q3" s="8"/>
      <c r="R3" s="8" t="str">
        <f>Q4</f>
        <v>10k</v>
      </c>
      <c r="S3" s="8" t="str">
        <f>Q5</f>
        <v>6k</v>
      </c>
      <c r="T3" s="8" t="str">
        <f>Q6</f>
        <v>3k</v>
      </c>
    </row>
    <row r="4" spans="2:20" x14ac:dyDescent="0.2">
      <c r="B4" s="9" t="s">
        <v>73</v>
      </c>
      <c r="C4" s="8">
        <v>1</v>
      </c>
      <c r="D4" s="8">
        <f>1/3</f>
        <v>0.33333333333333331</v>
      </c>
      <c r="E4" s="8">
        <f>1/5</f>
        <v>0.2</v>
      </c>
      <c r="G4" s="8" t="str">
        <f>B4</f>
        <v>10k</v>
      </c>
      <c r="H4" s="8">
        <v>1</v>
      </c>
      <c r="I4" s="8">
        <f>1/2</f>
        <v>0.5</v>
      </c>
      <c r="J4" s="8">
        <f>1/4</f>
        <v>0.25</v>
      </c>
      <c r="L4" s="8" t="str">
        <f>G4</f>
        <v>10k</v>
      </c>
      <c r="M4" s="8">
        <v>1</v>
      </c>
      <c r="N4" s="8">
        <f>1/2</f>
        <v>0.5</v>
      </c>
      <c r="O4" s="8">
        <f>1/4</f>
        <v>0.25</v>
      </c>
      <c r="Q4" s="8" t="str">
        <f>L4</f>
        <v>10k</v>
      </c>
      <c r="R4" s="8">
        <f>GEOMEAN(C4,H4,M4)</f>
        <v>1</v>
      </c>
      <c r="S4" s="8">
        <f t="shared" ref="S4:T6" si="0">GEOMEAN(D4,I4,N4)</f>
        <v>0.43679023236814946</v>
      </c>
      <c r="T4" s="8">
        <f t="shared" si="0"/>
        <v>0.23207944168063896</v>
      </c>
    </row>
    <row r="5" spans="2:20" x14ac:dyDescent="0.2">
      <c r="B5" s="9" t="s">
        <v>74</v>
      </c>
      <c r="C5" s="8">
        <v>3</v>
      </c>
      <c r="D5" s="8">
        <v>1</v>
      </c>
      <c r="E5" s="8">
        <f>1/3</f>
        <v>0.33333333333333331</v>
      </c>
      <c r="G5" s="8" t="str">
        <f t="shared" ref="G5:G6" si="1">B5</f>
        <v>6k</v>
      </c>
      <c r="H5" s="8">
        <v>2</v>
      </c>
      <c r="I5" s="8">
        <v>1</v>
      </c>
      <c r="J5" s="8">
        <f>1/3</f>
        <v>0.33333333333333331</v>
      </c>
      <c r="L5" s="8" t="str">
        <f t="shared" ref="L5:L6" si="2">G5</f>
        <v>6k</v>
      </c>
      <c r="M5" s="8">
        <v>2</v>
      </c>
      <c r="N5" s="8">
        <v>1</v>
      </c>
      <c r="O5" s="8">
        <f>1/3</f>
        <v>0.33333333333333331</v>
      </c>
      <c r="Q5" s="8" t="str">
        <f t="shared" ref="Q5:Q6" si="3">L5</f>
        <v>6k</v>
      </c>
      <c r="R5" s="8">
        <f t="shared" ref="R5:R6" si="4">GEOMEAN(C5,H5,M5)</f>
        <v>2.2894284851066637</v>
      </c>
      <c r="S5" s="8">
        <f t="shared" si="0"/>
        <v>1</v>
      </c>
      <c r="T5" s="8">
        <f t="shared" si="0"/>
        <v>0.33333333333333331</v>
      </c>
    </row>
    <row r="6" spans="2:20" x14ac:dyDescent="0.2">
      <c r="B6" s="9" t="s">
        <v>75</v>
      </c>
      <c r="C6" s="8">
        <v>5</v>
      </c>
      <c r="D6" s="8">
        <v>3</v>
      </c>
      <c r="E6" s="8">
        <v>1</v>
      </c>
      <c r="G6" s="8" t="str">
        <f t="shared" si="1"/>
        <v>3k</v>
      </c>
      <c r="H6" s="8">
        <v>4</v>
      </c>
      <c r="I6" s="8">
        <v>3</v>
      </c>
      <c r="J6" s="8">
        <v>1</v>
      </c>
      <c r="L6" s="8" t="str">
        <f t="shared" si="2"/>
        <v>3k</v>
      </c>
      <c r="M6" s="8">
        <v>4</v>
      </c>
      <c r="N6" s="8">
        <v>3</v>
      </c>
      <c r="O6" s="8">
        <v>1</v>
      </c>
      <c r="Q6" s="8" t="str">
        <f t="shared" si="3"/>
        <v>3k</v>
      </c>
      <c r="R6" s="8">
        <f t="shared" si="4"/>
        <v>4.3088693800637676</v>
      </c>
      <c r="S6" s="8">
        <f t="shared" si="0"/>
        <v>3</v>
      </c>
      <c r="T6" s="8">
        <f t="shared" si="0"/>
        <v>1</v>
      </c>
    </row>
    <row r="8" spans="2:20" hidden="1" x14ac:dyDescent="0.2">
      <c r="C8" s="8">
        <f>SUM(C4:C6)</f>
        <v>9</v>
      </c>
      <c r="D8" s="8">
        <f t="shared" ref="D8:E8" si="5">SUM(D4:D6)</f>
        <v>4.333333333333333</v>
      </c>
      <c r="E8" s="8">
        <f t="shared" si="5"/>
        <v>1.5333333333333332</v>
      </c>
      <c r="H8" s="8">
        <f>SUM(H4:H6)</f>
        <v>7</v>
      </c>
      <c r="I8" s="8">
        <f t="shared" ref="I8:J8" si="6">SUM(I4:I6)</f>
        <v>4.5</v>
      </c>
      <c r="J8" s="8">
        <f t="shared" si="6"/>
        <v>1.5833333333333333</v>
      </c>
      <c r="M8" s="8">
        <f>SUM(M4:M6)</f>
        <v>7</v>
      </c>
      <c r="N8" s="8">
        <f t="shared" ref="N8:O8" si="7">SUM(N4:N6)</f>
        <v>4.5</v>
      </c>
      <c r="O8" s="8">
        <f t="shared" si="7"/>
        <v>1.5833333333333333</v>
      </c>
      <c r="R8" s="8">
        <f>SUM(R4:R6)</f>
        <v>7.5982978651704318</v>
      </c>
      <c r="S8" s="8">
        <f t="shared" ref="S8:T8" si="8">SUM(S4:S6)</f>
        <v>4.4367902323681498</v>
      </c>
      <c r="T8" s="8">
        <f t="shared" si="8"/>
        <v>1.5654127750139724</v>
      </c>
    </row>
    <row r="9" spans="2:20" hidden="1" x14ac:dyDescent="0.2"/>
    <row r="10" spans="2:20" hidden="1" x14ac:dyDescent="0.2"/>
    <row r="11" spans="2:20" hidden="1" x14ac:dyDescent="0.2">
      <c r="C11" s="8">
        <f>C4/C$8</f>
        <v>0.1111111111111111</v>
      </c>
      <c r="D11" s="8">
        <f>D4/D$8</f>
        <v>7.6923076923076927E-2</v>
      </c>
      <c r="E11" s="8">
        <f>E4/E$8</f>
        <v>0.13043478260869568</v>
      </c>
      <c r="H11" s="8">
        <f>H4/H$8</f>
        <v>0.14285714285714285</v>
      </c>
      <c r="I11" s="8">
        <f>I4/I$8</f>
        <v>0.1111111111111111</v>
      </c>
      <c r="J11" s="8">
        <f>J4/J$8</f>
        <v>0.15789473684210528</v>
      </c>
      <c r="M11" s="8">
        <f>M4/M$8</f>
        <v>0.14285714285714285</v>
      </c>
      <c r="N11" s="8">
        <f>N4/N$8</f>
        <v>0.1111111111111111</v>
      </c>
      <c r="O11" s="8">
        <f>O4/O$8</f>
        <v>0.15789473684210528</v>
      </c>
      <c r="R11" s="8">
        <f>R4/R$8</f>
        <v>0.13160842306325796</v>
      </c>
      <c r="S11" s="8">
        <f>S4/S$8</f>
        <v>9.8447348080959729E-2</v>
      </c>
      <c r="T11" s="8">
        <f>T4/T$8</f>
        <v>0.14825447024895239</v>
      </c>
    </row>
    <row r="12" spans="2:20" hidden="1" x14ac:dyDescent="0.2">
      <c r="C12" s="8">
        <f t="shared" ref="C12:E13" si="9">C5/C$8</f>
        <v>0.33333333333333331</v>
      </c>
      <c r="D12" s="8">
        <f t="shared" si="9"/>
        <v>0.23076923076923078</v>
      </c>
      <c r="E12" s="8">
        <f t="shared" si="9"/>
        <v>0.21739130434782608</v>
      </c>
      <c r="H12" s="8">
        <f t="shared" ref="H12:J13" si="10">H5/H$8</f>
        <v>0.2857142857142857</v>
      </c>
      <c r="I12" s="8">
        <f t="shared" si="10"/>
        <v>0.22222222222222221</v>
      </c>
      <c r="J12" s="8">
        <f t="shared" si="10"/>
        <v>0.21052631578947367</v>
      </c>
      <c r="M12" s="8">
        <f t="shared" ref="M12:O13" si="11">M5/M$8</f>
        <v>0.2857142857142857</v>
      </c>
      <c r="N12" s="8">
        <f t="shared" si="11"/>
        <v>0.22222222222222221</v>
      </c>
      <c r="O12" s="8">
        <f t="shared" si="11"/>
        <v>0.21052631578947367</v>
      </c>
      <c r="R12" s="8">
        <f t="shared" ref="R12:T13" si="12">R5/R$8</f>
        <v>0.30130807264099158</v>
      </c>
      <c r="S12" s="8">
        <f t="shared" si="12"/>
        <v>0.22538816297976005</v>
      </c>
      <c r="T12" s="8">
        <f t="shared" si="12"/>
        <v>0.21293638243776189</v>
      </c>
    </row>
    <row r="13" spans="2:20" hidden="1" x14ac:dyDescent="0.2">
      <c r="C13" s="8">
        <f t="shared" si="9"/>
        <v>0.55555555555555558</v>
      </c>
      <c r="D13" s="8">
        <f t="shared" si="9"/>
        <v>0.6923076923076924</v>
      </c>
      <c r="E13" s="8">
        <f t="shared" si="9"/>
        <v>0.65217391304347827</v>
      </c>
      <c r="H13" s="8">
        <f t="shared" si="10"/>
        <v>0.5714285714285714</v>
      </c>
      <c r="I13" s="8">
        <f t="shared" si="10"/>
        <v>0.66666666666666663</v>
      </c>
      <c r="J13" s="8">
        <f t="shared" si="10"/>
        <v>0.63157894736842113</v>
      </c>
      <c r="M13" s="8">
        <f t="shared" si="11"/>
        <v>0.5714285714285714</v>
      </c>
      <c r="N13" s="8">
        <f t="shared" si="11"/>
        <v>0.66666666666666663</v>
      </c>
      <c r="O13" s="8">
        <f t="shared" si="11"/>
        <v>0.63157894736842113</v>
      </c>
      <c r="R13" s="8">
        <f t="shared" si="12"/>
        <v>0.56708350429575038</v>
      </c>
      <c r="S13" s="8">
        <f t="shared" si="12"/>
        <v>0.67616448893928016</v>
      </c>
      <c r="T13" s="8">
        <f t="shared" si="12"/>
        <v>0.63880914731328564</v>
      </c>
    </row>
    <row r="14" spans="2:20" hidden="1" x14ac:dyDescent="0.2"/>
    <row r="15" spans="2:20" x14ac:dyDescent="0.2">
      <c r="D15" s="8" t="str">
        <f>B4</f>
        <v>10k</v>
      </c>
      <c r="E15" s="8">
        <f>AVERAGE(C11:E11)</f>
        <v>0.1061563235476279</v>
      </c>
      <c r="I15" s="8" t="str">
        <f>G4</f>
        <v>10k</v>
      </c>
      <c r="J15" s="8">
        <f>AVERAGE(H11:J11)</f>
        <v>0.1372876636034531</v>
      </c>
      <c r="N15" s="8" t="str">
        <f>L4</f>
        <v>10k</v>
      </c>
      <c r="O15" s="8">
        <f>AVERAGE(M11:O11)</f>
        <v>0.1372876636034531</v>
      </c>
      <c r="S15" s="8" t="str">
        <f>Q4</f>
        <v>10k</v>
      </c>
      <c r="T15" s="11">
        <f>AVERAGE(R11:T11)</f>
        <v>0.12610341379772336</v>
      </c>
    </row>
    <row r="16" spans="2:20" x14ac:dyDescent="0.2">
      <c r="D16" s="8" t="str">
        <f t="shared" ref="D16:D17" si="13">B5</f>
        <v>6k</v>
      </c>
      <c r="E16" s="8">
        <f t="shared" ref="E16:E17" si="14">AVERAGE(C12:E12)</f>
        <v>0.26049795615013005</v>
      </c>
      <c r="I16" s="8" t="str">
        <f t="shared" ref="I16:I17" si="15">G5</f>
        <v>6k</v>
      </c>
      <c r="J16" s="8">
        <f t="shared" ref="J16:J17" si="16">AVERAGE(H12:J12)</f>
        <v>0.23948760790866053</v>
      </c>
      <c r="N16" s="8" t="str">
        <f t="shared" ref="N16:N17" si="17">L5</f>
        <v>6k</v>
      </c>
      <c r="O16" s="8">
        <f t="shared" ref="O16:O17" si="18">AVERAGE(M12:O12)</f>
        <v>0.23948760790866053</v>
      </c>
      <c r="S16" s="8" t="str">
        <f t="shared" ref="S16:S17" si="19">Q5</f>
        <v>6k</v>
      </c>
      <c r="T16" s="11">
        <f t="shared" ref="T16:T17" si="20">AVERAGE(R12:T12)</f>
        <v>0.24654420601950452</v>
      </c>
    </row>
    <row r="17" spans="2:20" x14ac:dyDescent="0.2">
      <c r="D17" s="8" t="str">
        <f t="shared" si="13"/>
        <v>3k</v>
      </c>
      <c r="E17" s="8">
        <f t="shared" si="14"/>
        <v>0.63334572030224201</v>
      </c>
      <c r="I17" s="8" t="str">
        <f t="shared" si="15"/>
        <v>3k</v>
      </c>
      <c r="J17" s="8">
        <f t="shared" si="16"/>
        <v>0.62322472848788646</v>
      </c>
      <c r="N17" s="8" t="str">
        <f t="shared" si="17"/>
        <v>3k</v>
      </c>
      <c r="O17" s="8">
        <f t="shared" si="18"/>
        <v>0.62322472848788646</v>
      </c>
      <c r="S17" s="8" t="str">
        <f t="shared" si="19"/>
        <v>3k</v>
      </c>
      <c r="T17" s="11">
        <f t="shared" si="20"/>
        <v>0.62735238018277206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0.1061563235476279</v>
      </c>
      <c r="D21" s="8">
        <f>D4*E$16</f>
        <v>8.6832652050043341E-2</v>
      </c>
      <c r="E21" s="8">
        <f>E4*E$17</f>
        <v>0.12666914406044841</v>
      </c>
      <c r="H21" s="8">
        <f>H4*J$15</f>
        <v>0.1372876636034531</v>
      </c>
      <c r="I21" s="8">
        <f>I4*J$16</f>
        <v>0.11974380395433026</v>
      </c>
      <c r="J21" s="8">
        <f>J4*J$17</f>
        <v>0.15580618212197161</v>
      </c>
      <c r="M21" s="8">
        <f>M4*O$15</f>
        <v>0.1372876636034531</v>
      </c>
      <c r="N21" s="8">
        <f>N4*O$16</f>
        <v>0.11974380395433026</v>
      </c>
      <c r="O21" s="8">
        <f>O4*O$17</f>
        <v>0.15580618212197161</v>
      </c>
      <c r="R21" s="8">
        <f>R4*T$15</f>
        <v>0.12610341379772336</v>
      </c>
      <c r="S21" s="8">
        <f>S4*T$16</f>
        <v>0.10768810103628029</v>
      </c>
      <c r="T21" s="8">
        <f>T4*T$17</f>
        <v>0.14559559012983769</v>
      </c>
    </row>
    <row r="22" spans="2:20" hidden="1" x14ac:dyDescent="0.2">
      <c r="C22" s="8">
        <f t="shared" ref="C22:C23" si="21">C5*E$15</f>
        <v>0.31846897064288371</v>
      </c>
      <c r="D22" s="8">
        <f t="shared" ref="D22:D23" si="22">D5*E$16</f>
        <v>0.26049795615013005</v>
      </c>
      <c r="E22" s="8">
        <f t="shared" ref="E22:E23" si="23">E5*E$17</f>
        <v>0.21111524010074734</v>
      </c>
      <c r="H22" s="8">
        <f t="shared" ref="H22:H23" si="24">H5*J$15</f>
        <v>0.27457532720690619</v>
      </c>
      <c r="I22" s="8">
        <f t="shared" ref="I22:I23" si="25">I5*J$16</f>
        <v>0.23948760790866053</v>
      </c>
      <c r="J22" s="8">
        <f t="shared" ref="J22:J23" si="26">J5*J$17</f>
        <v>0.20774157616262881</v>
      </c>
      <c r="M22" s="8">
        <f t="shared" ref="M22:M23" si="27">M5*O$15</f>
        <v>0.27457532720690619</v>
      </c>
      <c r="N22" s="8">
        <f t="shared" ref="N22:N23" si="28">N5*O$16</f>
        <v>0.23948760790866053</v>
      </c>
      <c r="O22" s="8">
        <f t="shared" ref="O22:O23" si="29">O5*O$17</f>
        <v>0.20774157616262881</v>
      </c>
      <c r="R22" s="8">
        <f t="shared" ref="R22:R23" si="30">R5*T$15</f>
        <v>0.28870474761770054</v>
      </c>
      <c r="S22" s="8">
        <f t="shared" ref="S22:S23" si="31">S5*T$16</f>
        <v>0.24654420601950452</v>
      </c>
      <c r="T22" s="8">
        <f t="shared" ref="T22:T23" si="32">T5*T$17</f>
        <v>0.20911746006092402</v>
      </c>
    </row>
    <row r="23" spans="2:20" hidden="1" x14ac:dyDescent="0.2">
      <c r="C23" s="8">
        <f t="shared" si="21"/>
        <v>0.53078161773813948</v>
      </c>
      <c r="D23" s="8">
        <f t="shared" si="22"/>
        <v>0.78149386845039015</v>
      </c>
      <c r="E23" s="8">
        <f t="shared" si="23"/>
        <v>0.63334572030224201</v>
      </c>
      <c r="H23" s="8">
        <f t="shared" si="24"/>
        <v>0.54915065441381239</v>
      </c>
      <c r="I23" s="8">
        <f t="shared" si="25"/>
        <v>0.71846282372598158</v>
      </c>
      <c r="J23" s="8">
        <f t="shared" si="26"/>
        <v>0.62322472848788646</v>
      </c>
      <c r="M23" s="8">
        <f t="shared" si="27"/>
        <v>0.54915065441381239</v>
      </c>
      <c r="N23" s="8">
        <f t="shared" si="28"/>
        <v>0.71846282372598158</v>
      </c>
      <c r="O23" s="8">
        <f t="shared" si="29"/>
        <v>0.62322472848788646</v>
      </c>
      <c r="R23" s="8">
        <f t="shared" si="30"/>
        <v>0.543363138434521</v>
      </c>
      <c r="S23" s="8">
        <f t="shared" si="31"/>
        <v>0.73963261805851355</v>
      </c>
      <c r="T23" s="8">
        <f t="shared" si="32"/>
        <v>0.62735238018277206</v>
      </c>
    </row>
    <row r="24" spans="2:20" hidden="1" x14ac:dyDescent="0.2"/>
    <row r="25" spans="2:20" hidden="1" x14ac:dyDescent="0.2">
      <c r="C25" s="8">
        <f>SUM(C21:E21)</f>
        <v>0.31965811965811963</v>
      </c>
      <c r="D25" s="8">
        <f>SUM(C22:E22)</f>
        <v>0.7900821668937611</v>
      </c>
      <c r="E25" s="8">
        <f>SUM(C23:E23)</f>
        <v>1.9456212064907716</v>
      </c>
      <c r="H25" s="8">
        <f>SUM(H21:J21)</f>
        <v>0.412837649679755</v>
      </c>
      <c r="I25" s="8">
        <f>SUM(H22:J22)</f>
        <v>0.72180451127819556</v>
      </c>
      <c r="J25" s="8">
        <f>SUM(H23:J23)</f>
        <v>1.8908382066276803</v>
      </c>
      <c r="M25" s="8">
        <f>SUM(M21:O21)</f>
        <v>0.412837649679755</v>
      </c>
      <c r="N25" s="8">
        <f>SUM(M22:O22)</f>
        <v>0.72180451127819556</v>
      </c>
      <c r="O25" s="8">
        <f>SUM(M23:O23)</f>
        <v>1.8908382066276803</v>
      </c>
      <c r="R25" s="8">
        <f>SUM(R21:T21)</f>
        <v>0.37938710496384132</v>
      </c>
      <c r="S25" s="8">
        <f>SUM(R22:T22)</f>
        <v>0.74436641369812906</v>
      </c>
      <c r="T25" s="8">
        <f>SUM(R23:T23)</f>
        <v>1.9103481366758066</v>
      </c>
    </row>
    <row r="26" spans="2:20" hidden="1" x14ac:dyDescent="0.2"/>
    <row r="27" spans="2:20" hidden="1" x14ac:dyDescent="0.2">
      <c r="C27" s="8">
        <f>E15</f>
        <v>0.1061563235476279</v>
      </c>
      <c r="D27" s="8">
        <f>E16</f>
        <v>0.26049795615013005</v>
      </c>
      <c r="E27" s="8">
        <f>E17</f>
        <v>0.63334572030224201</v>
      </c>
      <c r="H27" s="8">
        <f>J15</f>
        <v>0.1372876636034531</v>
      </c>
      <c r="I27" s="8">
        <f>J16</f>
        <v>0.23948760790866053</v>
      </c>
      <c r="J27" s="8">
        <f>J17</f>
        <v>0.62322472848788646</v>
      </c>
      <c r="M27" s="8">
        <f>O15</f>
        <v>0.1372876636034531</v>
      </c>
      <c r="N27" s="8">
        <f>O16</f>
        <v>0.23948760790866053</v>
      </c>
      <c r="O27" s="8">
        <f>O17</f>
        <v>0.62322472848788646</v>
      </c>
      <c r="R27" s="8">
        <f>T15</f>
        <v>0.12610341379772336</v>
      </c>
      <c r="S27" s="8">
        <f>T16</f>
        <v>0.24654420601950452</v>
      </c>
      <c r="T27" s="8">
        <f>T17</f>
        <v>0.62735238018277206</v>
      </c>
    </row>
    <row r="28" spans="2:20" hidden="1" x14ac:dyDescent="0.2"/>
    <row r="29" spans="2:20" hidden="1" x14ac:dyDescent="0.2">
      <c r="C29" s="8">
        <f>C25/C27</f>
        <v>3.0112018669778293</v>
      </c>
      <c r="D29" s="8">
        <f t="shared" ref="D29:E29" si="33">D25/D27</f>
        <v>3.0329687747662071</v>
      </c>
      <c r="E29" s="8">
        <f t="shared" si="33"/>
        <v>3.0719734011343633</v>
      </c>
      <c r="H29" s="8">
        <f>H25/H27</f>
        <v>3.0070993914807302</v>
      </c>
      <c r="I29" s="8">
        <f t="shared" ref="I29:J29" si="34">I25/I27</f>
        <v>3.0139534883720933</v>
      </c>
      <c r="J29" s="8">
        <f t="shared" si="34"/>
        <v>3.0339588918677385</v>
      </c>
      <c r="M29" s="8">
        <f>M25/M27</f>
        <v>3.0070993914807302</v>
      </c>
      <c r="N29" s="8">
        <f t="shared" ref="N29:O29" si="35">N25/N27</f>
        <v>3.0139534883720933</v>
      </c>
      <c r="O29" s="8">
        <f t="shared" si="35"/>
        <v>3.0339588918677385</v>
      </c>
      <c r="R29" s="8">
        <f>R25/R27</f>
        <v>3.0085395275055644</v>
      </c>
      <c r="S29" s="8">
        <f t="shared" ref="S29:T29" si="36">S25/S27</f>
        <v>3.0192005957716197</v>
      </c>
      <c r="T29" s="8">
        <f t="shared" si="36"/>
        <v>3.045095861626042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3.0387146809594667</v>
      </c>
      <c r="I31" s="8" t="s">
        <v>20</v>
      </c>
      <c r="J31" s="8">
        <f>AVERAGE(H29:J29)</f>
        <v>3.0183372572401872</v>
      </c>
      <c r="N31" s="8" t="s">
        <v>20</v>
      </c>
      <c r="O31" s="8">
        <f>AVERAGE(M29:O29)</f>
        <v>3.0183372572401872</v>
      </c>
      <c r="S31" s="8" t="s">
        <v>20</v>
      </c>
      <c r="T31" s="8">
        <f>AVERAGE(R29:T29)</f>
        <v>3.0242786616344084</v>
      </c>
    </row>
    <row r="32" spans="2:20" hidden="1" x14ac:dyDescent="0.2">
      <c r="D32" s="8" t="s">
        <v>21</v>
      </c>
      <c r="E32" s="8">
        <f>(E31-3)/2</f>
        <v>1.9357340479733365E-2</v>
      </c>
      <c r="I32" s="8" t="s">
        <v>21</v>
      </c>
      <c r="J32" s="8">
        <f>(J31-3)/2</f>
        <v>9.1686286200935996E-3</v>
      </c>
      <c r="N32" s="8" t="s">
        <v>21</v>
      </c>
      <c r="O32" s="8">
        <f>(O31-3)/2</f>
        <v>9.1686286200935996E-3</v>
      </c>
      <c r="S32" s="8" t="s">
        <v>21</v>
      </c>
      <c r="T32" s="8">
        <f>(T31-3)/2</f>
        <v>1.2139330817204197E-2</v>
      </c>
    </row>
    <row r="33" spans="4:20" x14ac:dyDescent="0.2">
      <c r="D33" s="8" t="s">
        <v>22</v>
      </c>
      <c r="E33" s="8">
        <f>E32/0.52</f>
        <v>3.722565476871801E-2</v>
      </c>
      <c r="I33" s="8" t="s">
        <v>22</v>
      </c>
      <c r="J33" s="8">
        <f>J32/0.52</f>
        <v>1.7631978115564613E-2</v>
      </c>
      <c r="N33" s="8" t="s">
        <v>22</v>
      </c>
      <c r="O33" s="8">
        <f>O32/0.52</f>
        <v>1.7631978115564613E-2</v>
      </c>
      <c r="S33" s="8" t="s">
        <v>22</v>
      </c>
      <c r="T33" s="8">
        <f>T32/0.52</f>
        <v>2.3344866956161916E-2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B686-EFD2-E54A-84AE-1F741CA01194}">
  <dimension ref="B3:T33"/>
  <sheetViews>
    <sheetView workbookViewId="0">
      <selection activeCell="K48" sqref="K48"/>
    </sheetView>
  </sheetViews>
  <sheetFormatPr baseColWidth="10" defaultColWidth="8.83203125" defaultRowHeight="15" x14ac:dyDescent="0.2"/>
  <sheetData>
    <row r="3" spans="2:20" x14ac:dyDescent="0.2">
      <c r="B3" s="8"/>
      <c r="C3" s="8" t="str">
        <f>B4</f>
        <v>Sustav samostalno rješava 70–80 % korisničkih upita bez uključivanja zaposlenika, ljudska intervencija potrebna je samo za složene slučajeve.</v>
      </c>
      <c r="D3" s="8" t="str">
        <f>B5</f>
        <v>Klijenti samostalno obavljaju 60–70 % administrativnih radnji poput predaje dokumentacije i praćenja statusa.</v>
      </c>
      <c r="E3" s="8" t="str">
        <f>B6</f>
        <v>Automatizirano je približno 50 % procesa, uključujući prijave, materijale i izdavanje potvrda, dok edukator sudjeluje u izvođenju sadržaja.</v>
      </c>
      <c r="G3" s="8"/>
      <c r="H3" s="8" t="str">
        <f>G4</f>
        <v>Sustav samostalno rješava 70–80 % korisničkih upita bez uključivanja zaposlenika, ljudska intervencija potrebna je samo za složene slučajeve.</v>
      </c>
      <c r="I3" s="8" t="str">
        <f>G5</f>
        <v>Klijenti samostalno obavljaju 60–70 % administrativnih radnji poput predaje dokumentacije i praćenja statusa.</v>
      </c>
      <c r="J3" s="8" t="str">
        <f>G6</f>
        <v>Automatizirano je približno 50 % procesa, uključujući prijave, materijale i izdavanje potvrda, dok edukator sudjeluje u izvođenju sadržaja.</v>
      </c>
      <c r="L3" s="8"/>
      <c r="M3" s="8" t="str">
        <f>L4</f>
        <v>Sustav samostalno rješava 70–80 % korisničkih upita bez uključivanja zaposlenika, ljudska intervencija potrebna je samo za složene slučajeve.</v>
      </c>
      <c r="N3" s="8" t="str">
        <f>L5</f>
        <v>Klijenti samostalno obavljaju 60–70 % administrativnih radnji poput predaje dokumentacije i praćenja statusa.</v>
      </c>
      <c r="O3" s="8" t="str">
        <f>L6</f>
        <v>Automatizirano je približno 50 % procesa, uključujući prijave, materijale i izdavanje potvrda, dok edukator sudjeluje u izvođenju sadržaja.</v>
      </c>
      <c r="Q3" s="8"/>
      <c r="R3" s="8" t="str">
        <f>Q4</f>
        <v>Sustav samostalno rješava 70–80 % korisničkih upita bez uključivanja zaposlenika, ljudska intervencija potrebna je samo za složene slučajeve.</v>
      </c>
      <c r="S3" s="8" t="str">
        <f>Q5</f>
        <v>Klijenti samostalno obavljaju 60–70 % administrativnih radnji poput predaje dokumentacije i praćenja statusa.</v>
      </c>
      <c r="T3" s="8" t="str">
        <f>Q6</f>
        <v>Automatizirano je približno 50 % procesa, uključujući prijave, materijale i izdavanje potvrda, dok edukator sudjeluje u izvođenju sadržaja.</v>
      </c>
    </row>
    <row r="4" spans="2:20" x14ac:dyDescent="0.2">
      <c r="B4" s="9" t="s">
        <v>30</v>
      </c>
      <c r="C4" s="8">
        <v>1</v>
      </c>
      <c r="D4" s="8">
        <v>5</v>
      </c>
      <c r="E4" s="8">
        <v>6</v>
      </c>
      <c r="G4" s="8" t="str">
        <f>B4</f>
        <v>Sustav samostalno rješava 70–80 % korisničkih upita bez uključivanja zaposlenika, ljudska intervencija potrebna je samo za složene slučajeve.</v>
      </c>
      <c r="H4" s="8">
        <v>1</v>
      </c>
      <c r="I4" s="8">
        <f>1/6</f>
        <v>0.16666666666666666</v>
      </c>
      <c r="J4" s="8">
        <v>3</v>
      </c>
      <c r="L4" s="8" t="str">
        <f>G4</f>
        <v>Sustav samostalno rješava 70–80 % korisničkih upita bez uključivanja zaposlenika, ljudska intervencija potrebna je samo za složene slučajeve.</v>
      </c>
      <c r="M4" s="8">
        <v>1</v>
      </c>
      <c r="N4" s="8">
        <f>1/6</f>
        <v>0.16666666666666666</v>
      </c>
      <c r="O4" s="8">
        <v>3</v>
      </c>
      <c r="Q4" s="8" t="str">
        <f>L4</f>
        <v>Sustav samostalno rješava 70–80 % korisničkih upita bez uključivanja zaposlenika, ljudska intervencija potrebna je samo za složene slučajeve.</v>
      </c>
      <c r="R4" s="8">
        <f>GEOMEAN(C4,H4,M4)</f>
        <v>1</v>
      </c>
      <c r="S4" s="8">
        <f t="shared" ref="S4:T6" si="0">GEOMEAN(D4,I4,N4)</f>
        <v>0.51787208432564313</v>
      </c>
      <c r="T4" s="8">
        <f t="shared" si="0"/>
        <v>3.7797631496846193</v>
      </c>
    </row>
    <row r="5" spans="2:20" x14ac:dyDescent="0.2">
      <c r="B5" s="9" t="s">
        <v>39</v>
      </c>
      <c r="C5" s="8">
        <f>1/5</f>
        <v>0.2</v>
      </c>
      <c r="D5" s="8">
        <v>1</v>
      </c>
      <c r="E5" s="8">
        <v>3</v>
      </c>
      <c r="G5" s="8" t="str">
        <f t="shared" ref="G5:G6" si="1">B5</f>
        <v>Klijenti samostalno obavljaju 60–70 % administrativnih radnji poput predaje dokumentacije i praćenja statusa.</v>
      </c>
      <c r="H5" s="8">
        <v>6</v>
      </c>
      <c r="I5" s="8">
        <v>1</v>
      </c>
      <c r="J5" s="8">
        <v>7</v>
      </c>
      <c r="L5" s="8" t="str">
        <f t="shared" ref="L5:L6" si="2">G5</f>
        <v>Klijenti samostalno obavljaju 60–70 % administrativnih radnji poput predaje dokumentacije i praćenja statusa.</v>
      </c>
      <c r="M5" s="8">
        <v>6</v>
      </c>
      <c r="N5" s="8">
        <v>1</v>
      </c>
      <c r="O5" s="8">
        <v>8</v>
      </c>
      <c r="Q5" s="8" t="str">
        <f t="shared" ref="Q5:Q6" si="3">L5</f>
        <v>Klijenti samostalno obavljaju 60–70 % administrativnih radnji poput predaje dokumentacije i praćenja statusa.</v>
      </c>
      <c r="R5" s="8">
        <f t="shared" ref="R5:R6" si="4">GEOMEAN(C5,H5,M5)</f>
        <v>1.9309787692112594</v>
      </c>
      <c r="S5" s="8">
        <f t="shared" si="0"/>
        <v>1</v>
      </c>
      <c r="T5" s="8">
        <f t="shared" si="0"/>
        <v>5.5178483527622415</v>
      </c>
    </row>
    <row r="6" spans="2:20" x14ac:dyDescent="0.2">
      <c r="B6" s="9" t="s">
        <v>48</v>
      </c>
      <c r="C6" s="8">
        <f>1/6</f>
        <v>0.16666666666666666</v>
      </c>
      <c r="D6" s="8">
        <f>1/3</f>
        <v>0.33333333333333331</v>
      </c>
      <c r="E6" s="8">
        <v>1</v>
      </c>
      <c r="G6" s="8" t="str">
        <f t="shared" si="1"/>
        <v>Automatizirano je približno 50 % procesa, uključujući prijave, materijale i izdavanje potvrda, dok edukator sudjeluje u izvođenju sadržaja.</v>
      </c>
      <c r="H6" s="8">
        <f>1/3</f>
        <v>0.33333333333333331</v>
      </c>
      <c r="I6" s="8">
        <f>1/7</f>
        <v>0.14285714285714285</v>
      </c>
      <c r="J6" s="8">
        <v>1</v>
      </c>
      <c r="L6" s="8" t="str">
        <f t="shared" si="2"/>
        <v>Automatizirano je približno 50 % procesa, uključujući prijave, materijale i izdavanje potvrda, dok edukator sudjeluje u izvođenju sadržaja.</v>
      </c>
      <c r="M6" s="8">
        <f>1/3</f>
        <v>0.33333333333333331</v>
      </c>
      <c r="N6" s="8">
        <f>1/8</f>
        <v>0.125</v>
      </c>
      <c r="O6" s="8">
        <v>1</v>
      </c>
      <c r="Q6" s="8" t="str">
        <f t="shared" si="3"/>
        <v>Automatizirano je približno 50 % procesa, uključujući prijave, materijale i izdavanje potvrda, dok edukator sudjeluje u izvođenju sadržaja.</v>
      </c>
      <c r="R6" s="8">
        <f t="shared" si="4"/>
        <v>0.26456684199469993</v>
      </c>
      <c r="S6" s="8">
        <f t="shared" si="0"/>
        <v>0.18123006216714868</v>
      </c>
      <c r="T6" s="8">
        <f t="shared" si="0"/>
        <v>1</v>
      </c>
    </row>
    <row r="8" spans="2:20" hidden="1" x14ac:dyDescent="0.2">
      <c r="C8" s="8">
        <f>SUM(C4:C6)</f>
        <v>1.3666666666666667</v>
      </c>
      <c r="D8" s="8">
        <f t="shared" ref="D8:E8" si="5">SUM(D4:D6)</f>
        <v>6.333333333333333</v>
      </c>
      <c r="E8" s="8">
        <f t="shared" si="5"/>
        <v>10</v>
      </c>
      <c r="H8" s="8">
        <f>SUM(H4:H6)</f>
        <v>7.333333333333333</v>
      </c>
      <c r="I8" s="8">
        <f t="shared" ref="I8:J8" si="6">SUM(I4:I6)</f>
        <v>1.3095238095238095</v>
      </c>
      <c r="J8" s="8">
        <f t="shared" si="6"/>
        <v>11</v>
      </c>
      <c r="M8" s="8">
        <f>SUM(M4:M6)</f>
        <v>7.333333333333333</v>
      </c>
      <c r="N8" s="8">
        <f t="shared" ref="N8:O8" si="7">SUM(N4:N6)</f>
        <v>1.2916666666666667</v>
      </c>
      <c r="O8" s="8">
        <f t="shared" si="7"/>
        <v>12</v>
      </c>
      <c r="R8" s="8">
        <f>SUM(R4:R6)</f>
        <v>3.1955456112059597</v>
      </c>
      <c r="S8" s="8">
        <f t="shared" ref="S8:T8" si="8">SUM(S4:S6)</f>
        <v>1.6991021464927918</v>
      </c>
      <c r="T8" s="8">
        <f t="shared" si="8"/>
        <v>10.297611502446861</v>
      </c>
    </row>
    <row r="9" spans="2:20" hidden="1" x14ac:dyDescent="0.2"/>
    <row r="10" spans="2:20" hidden="1" x14ac:dyDescent="0.2"/>
    <row r="11" spans="2:20" hidden="1" x14ac:dyDescent="0.2">
      <c r="C11" s="8">
        <f>C4/C$8</f>
        <v>0.73170731707317072</v>
      </c>
      <c r="D11" s="8">
        <f>D4/D$8</f>
        <v>0.78947368421052633</v>
      </c>
      <c r="E11" s="8">
        <f>E4/E$8</f>
        <v>0.6</v>
      </c>
      <c r="H11" s="8">
        <f>H4/H$8</f>
        <v>0.13636363636363638</v>
      </c>
      <c r="I11" s="8">
        <f>I4/I$8</f>
        <v>0.12727272727272726</v>
      </c>
      <c r="J11" s="8">
        <f>J4/J$8</f>
        <v>0.27272727272727271</v>
      </c>
      <c r="M11" s="8">
        <f>M4/M$8</f>
        <v>0.13636363636363638</v>
      </c>
      <c r="N11" s="8">
        <f>N4/N$8</f>
        <v>0.12903225806451613</v>
      </c>
      <c r="O11" s="8">
        <f>O4/O$8</f>
        <v>0.25</v>
      </c>
      <c r="R11" s="8">
        <f>R4/R$8</f>
        <v>0.3129356052666738</v>
      </c>
      <c r="S11" s="8">
        <f>S4/S$8</f>
        <v>0.30479161326151627</v>
      </c>
      <c r="T11" s="8">
        <f>T4/T$8</f>
        <v>0.36705241295872282</v>
      </c>
    </row>
    <row r="12" spans="2:20" hidden="1" x14ac:dyDescent="0.2">
      <c r="C12" s="8">
        <f t="shared" ref="C12:E13" si="9">C5/C$8</f>
        <v>0.14634146341463414</v>
      </c>
      <c r="D12" s="8">
        <f t="shared" si="9"/>
        <v>0.15789473684210528</v>
      </c>
      <c r="E12" s="8">
        <f t="shared" si="9"/>
        <v>0.3</v>
      </c>
      <c r="H12" s="8">
        <f t="shared" ref="H12:J13" si="10">H5/H$8</f>
        <v>0.81818181818181823</v>
      </c>
      <c r="I12" s="8">
        <f t="shared" si="10"/>
        <v>0.76363636363636367</v>
      </c>
      <c r="J12" s="8">
        <f t="shared" si="10"/>
        <v>0.63636363636363635</v>
      </c>
      <c r="M12" s="8">
        <f t="shared" ref="M12:O13" si="11">M5/M$8</f>
        <v>0.81818181818181823</v>
      </c>
      <c r="N12" s="8">
        <f t="shared" si="11"/>
        <v>0.77419354838709675</v>
      </c>
      <c r="O12" s="8">
        <f t="shared" si="11"/>
        <v>0.66666666666666663</v>
      </c>
      <c r="R12" s="8">
        <f t="shared" ref="R12:T13" si="12">R5/R$8</f>
        <v>0.60427200990022223</v>
      </c>
      <c r="S12" s="8">
        <f t="shared" si="12"/>
        <v>0.58854613424163693</v>
      </c>
      <c r="T12" s="8">
        <f t="shared" si="12"/>
        <v>0.53583768929825337</v>
      </c>
    </row>
    <row r="13" spans="2:20" hidden="1" x14ac:dyDescent="0.2">
      <c r="C13" s="8">
        <f t="shared" si="9"/>
        <v>0.12195121951219512</v>
      </c>
      <c r="D13" s="8">
        <f t="shared" si="9"/>
        <v>5.2631578947368418E-2</v>
      </c>
      <c r="E13" s="8">
        <f t="shared" si="9"/>
        <v>0.1</v>
      </c>
      <c r="H13" s="8">
        <f t="shared" si="10"/>
        <v>4.5454545454545456E-2</v>
      </c>
      <c r="I13" s="8">
        <f t="shared" si="10"/>
        <v>0.10909090909090909</v>
      </c>
      <c r="J13" s="8">
        <f t="shared" si="10"/>
        <v>9.0909090909090912E-2</v>
      </c>
      <c r="M13" s="8">
        <f t="shared" si="11"/>
        <v>4.5454545454545456E-2</v>
      </c>
      <c r="N13" s="8">
        <f t="shared" si="11"/>
        <v>9.6774193548387094E-2</v>
      </c>
      <c r="O13" s="8">
        <f t="shared" si="11"/>
        <v>8.3333333333333329E-2</v>
      </c>
      <c r="R13" s="8">
        <f t="shared" si="12"/>
        <v>8.2792384833103874E-2</v>
      </c>
      <c r="S13" s="8">
        <f t="shared" si="12"/>
        <v>0.10666225249684688</v>
      </c>
      <c r="T13" s="8">
        <f t="shared" si="12"/>
        <v>9.7109897743023768E-2</v>
      </c>
    </row>
    <row r="14" spans="2:20" hidden="1" x14ac:dyDescent="0.2"/>
    <row r="15" spans="2:20" x14ac:dyDescent="0.2">
      <c r="D15" s="8" t="str">
        <f>B4</f>
        <v>Sustav samostalno rješava 70–80 % korisničkih upita bez uključivanja zaposlenika, ljudska intervencija potrebna je samo za složene slučajeve.</v>
      </c>
      <c r="E15" s="8">
        <f>AVERAGE(C11:E11)</f>
        <v>0.70706033376123234</v>
      </c>
      <c r="I15" s="8" t="str">
        <f>G4</f>
        <v>Sustav samostalno rješava 70–80 % korisničkih upita bez uključivanja zaposlenika, ljudska intervencija potrebna je samo za složene slučajeve.</v>
      </c>
      <c r="J15" s="8">
        <f>AVERAGE(H11:J11)</f>
        <v>0.1787878787878788</v>
      </c>
      <c r="N15" s="8" t="str">
        <f>L4</f>
        <v>Sustav samostalno rješava 70–80 % korisničkih upita bez uključivanja zaposlenika, ljudska intervencija potrebna je samo za složene slučajeve.</v>
      </c>
      <c r="O15" s="8">
        <f>AVERAGE(M11:O11)</f>
        <v>0.17179863147605082</v>
      </c>
      <c r="S15" s="8" t="str">
        <f>Q4</f>
        <v>Sustav samostalno rješava 70–80 % korisničkih upita bez uključivanja zaposlenika, ljudska intervencija potrebna je samo za složene slučajeve.</v>
      </c>
      <c r="T15" s="11">
        <f>AVERAGE(R11:T11)</f>
        <v>0.32825987716230431</v>
      </c>
    </row>
    <row r="16" spans="2:20" x14ac:dyDescent="0.2">
      <c r="D16" s="8" t="str">
        <f t="shared" ref="D16:D17" si="13">B5</f>
        <v>Klijenti samostalno obavljaju 60–70 % administrativnih radnji poput predaje dokumentacije i praćenja statusa.</v>
      </c>
      <c r="E16" s="8">
        <f t="shared" ref="E16:E17" si="14">AVERAGE(C12:E12)</f>
        <v>0.20141206675224646</v>
      </c>
      <c r="I16" s="8" t="str">
        <f t="shared" ref="I16:I17" si="15">G5</f>
        <v>Klijenti samostalno obavljaju 60–70 % administrativnih radnji poput predaje dokumentacije i praćenja statusa.</v>
      </c>
      <c r="J16" s="8">
        <f t="shared" ref="J16:J17" si="16">AVERAGE(H12:J12)</f>
        <v>0.73939393939393938</v>
      </c>
      <c r="N16" s="8" t="str">
        <f t="shared" ref="N16:N17" si="17">L5</f>
        <v>Klijenti samostalno obavljaju 60–70 % administrativnih radnji poput predaje dokumentacije i praćenja statusa.</v>
      </c>
      <c r="O16" s="8">
        <f t="shared" ref="O16:O17" si="18">AVERAGE(M12:O12)</f>
        <v>0.75301401107852717</v>
      </c>
      <c r="S16" s="8" t="str">
        <f t="shared" ref="S16:S17" si="19">Q5</f>
        <v>Klijenti samostalno obavljaju 60–70 % administrativnih radnji poput predaje dokumentacije i praćenja statusa.</v>
      </c>
      <c r="T16" s="11">
        <f t="shared" ref="T16:T17" si="20">AVERAGE(R12:T12)</f>
        <v>0.57621861114670425</v>
      </c>
    </row>
    <row r="17" spans="2:20" x14ac:dyDescent="0.2">
      <c r="D17" s="8" t="str">
        <f t="shared" si="13"/>
        <v>Automatizirano je približno 50 % procesa, uključujući prijave, materijale i izdavanje potvrda, dok edukator sudjeluje u izvođenju sadržaja.</v>
      </c>
      <c r="E17" s="8">
        <f t="shared" si="14"/>
        <v>9.1527599486521186E-2</v>
      </c>
      <c r="I17" s="8" t="str">
        <f t="shared" si="15"/>
        <v>Automatizirano je približno 50 % procesa, uključujući prijave, materijale i izdavanje potvrda, dok edukator sudjeluje u izvođenju sadržaja.</v>
      </c>
      <c r="J17" s="8">
        <f t="shared" si="16"/>
        <v>8.1818181818181818E-2</v>
      </c>
      <c r="N17" s="8" t="str">
        <f t="shared" si="17"/>
        <v>Automatizirano je približno 50 % procesa, uključujući prijave, materijale i izdavanje potvrda, dok edukator sudjeluje u izvođenju sadržaja.</v>
      </c>
      <c r="O17" s="8">
        <f t="shared" si="18"/>
        <v>7.5187357445421946E-2</v>
      </c>
      <c r="S17" s="8" t="str">
        <f t="shared" si="19"/>
        <v>Automatizirano je približno 50 % procesa, uključujući prijave, materijale i izdavanje potvrda, dok edukator sudjeluje u izvođenju sadržaja.</v>
      </c>
      <c r="T17" s="11">
        <f t="shared" si="20"/>
        <v>9.5521511690991504E-2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0.70706033376123234</v>
      </c>
      <c r="D21" s="8">
        <f>D4*E$16</f>
        <v>1.0070603337612323</v>
      </c>
      <c r="E21" s="8">
        <f>E4*E$17</f>
        <v>0.54916559691912714</v>
      </c>
      <c r="H21" s="8">
        <f>H4*J$15</f>
        <v>0.1787878787878788</v>
      </c>
      <c r="I21" s="8">
        <f>I4*J$16</f>
        <v>0.12323232323232322</v>
      </c>
      <c r="J21" s="8">
        <f>J4*J$17</f>
        <v>0.24545454545454545</v>
      </c>
      <c r="M21" s="8">
        <f>M4*O$15</f>
        <v>0.17179863147605082</v>
      </c>
      <c r="N21" s="8">
        <f>N4*O$16</f>
        <v>0.12550233517975451</v>
      </c>
      <c r="O21" s="8">
        <f>O4*O$17</f>
        <v>0.22556207233626585</v>
      </c>
      <c r="R21" s="8">
        <f>R4*T$15</f>
        <v>0.32825987716230431</v>
      </c>
      <c r="S21" s="8">
        <f>S4*T$16</f>
        <v>0.29840753318177099</v>
      </c>
      <c r="T21" s="8">
        <f>T4*T$17</f>
        <v>0.36104868989177824</v>
      </c>
    </row>
    <row r="22" spans="2:20" hidden="1" x14ac:dyDescent="0.2">
      <c r="C22" s="8">
        <f t="shared" ref="C22:C23" si="21">C5*E$15</f>
        <v>0.14141206675224646</v>
      </c>
      <c r="D22" s="8">
        <f t="shared" ref="D22:D23" si="22">D5*E$16</f>
        <v>0.20141206675224646</v>
      </c>
      <c r="E22" s="8">
        <f t="shared" ref="E22:E23" si="23">E5*E$17</f>
        <v>0.27458279845956357</v>
      </c>
      <c r="H22" s="8">
        <f t="shared" ref="H22:H23" si="24">H5*J$15</f>
        <v>1.0727272727272728</v>
      </c>
      <c r="I22" s="8">
        <f t="shared" ref="I22:I23" si="25">I5*J$16</f>
        <v>0.73939393939393938</v>
      </c>
      <c r="J22" s="8">
        <f t="shared" ref="J22:J23" si="26">J5*J$17</f>
        <v>0.57272727272727275</v>
      </c>
      <c r="M22" s="8">
        <f t="shared" ref="M22:M23" si="27">M5*O$15</f>
        <v>1.030791788856305</v>
      </c>
      <c r="N22" s="8">
        <f t="shared" ref="N22:N23" si="28">N5*O$16</f>
        <v>0.75301401107852717</v>
      </c>
      <c r="O22" s="8">
        <f t="shared" ref="O22:O23" si="29">O5*O$17</f>
        <v>0.60149885956337557</v>
      </c>
      <c r="R22" s="8">
        <f t="shared" ref="R22:R23" si="30">R5*T$15</f>
        <v>0.63386285358430561</v>
      </c>
      <c r="S22" s="8">
        <f t="shared" ref="S22:S23" si="31">S5*T$16</f>
        <v>0.57621861114670425</v>
      </c>
      <c r="T22" s="8">
        <f t="shared" ref="T22:T23" si="32">T5*T$17</f>
        <v>0.52707321593749668</v>
      </c>
    </row>
    <row r="23" spans="2:20" hidden="1" x14ac:dyDescent="0.2">
      <c r="C23" s="8">
        <f t="shared" si="21"/>
        <v>0.11784338896020538</v>
      </c>
      <c r="D23" s="8">
        <f t="shared" si="22"/>
        <v>6.7137355584082153E-2</v>
      </c>
      <c r="E23" s="8">
        <f t="shared" si="23"/>
        <v>9.1527599486521186E-2</v>
      </c>
      <c r="H23" s="8">
        <f t="shared" si="24"/>
        <v>5.9595959595959598E-2</v>
      </c>
      <c r="I23" s="8">
        <f t="shared" si="25"/>
        <v>0.10562770562770563</v>
      </c>
      <c r="J23" s="8">
        <f t="shared" si="26"/>
        <v>8.1818181818181818E-2</v>
      </c>
      <c r="M23" s="8">
        <f t="shared" si="27"/>
        <v>5.7266210492016939E-2</v>
      </c>
      <c r="N23" s="8">
        <f t="shared" si="28"/>
        <v>9.4126751384815896E-2</v>
      </c>
      <c r="O23" s="8">
        <f t="shared" si="29"/>
        <v>7.5187357445421946E-2</v>
      </c>
      <c r="R23" s="8">
        <f t="shared" si="30"/>
        <v>8.6846679054398968E-2</v>
      </c>
      <c r="S23" s="8">
        <f t="shared" si="31"/>
        <v>0.10442813471998529</v>
      </c>
      <c r="T23" s="8">
        <f t="shared" si="32"/>
        <v>9.5521511690991504E-2</v>
      </c>
    </row>
    <row r="24" spans="2:20" hidden="1" x14ac:dyDescent="0.2"/>
    <row r="25" spans="2:20" hidden="1" x14ac:dyDescent="0.2">
      <c r="C25" s="8">
        <f>SUM(C21:E21)</f>
        <v>2.2632862644415921</v>
      </c>
      <c r="D25" s="8">
        <f>SUM(C22:E22)</f>
        <v>0.61740693196405649</v>
      </c>
      <c r="E25" s="8">
        <f>SUM(C23:E23)</f>
        <v>0.27650834403080871</v>
      </c>
      <c r="H25" s="8">
        <f>SUM(H21:J21)</f>
        <v>0.54747474747474745</v>
      </c>
      <c r="I25" s="8">
        <f>SUM(H22:J22)</f>
        <v>2.3848484848484848</v>
      </c>
      <c r="J25" s="8">
        <f>SUM(H23:J23)</f>
        <v>0.24704184704184703</v>
      </c>
      <c r="M25" s="8">
        <f>SUM(M21:O21)</f>
        <v>0.52286303899207121</v>
      </c>
      <c r="N25" s="8">
        <f>SUM(M22:O22)</f>
        <v>2.3853046594982077</v>
      </c>
      <c r="O25" s="8">
        <f>SUM(M23:O23)</f>
        <v>0.22658031932225475</v>
      </c>
      <c r="R25" s="8">
        <f>SUM(R21:T21)</f>
        <v>0.98771610023585343</v>
      </c>
      <c r="S25" s="8">
        <f>SUM(R22:T22)</f>
        <v>1.7371546806685065</v>
      </c>
      <c r="T25" s="8">
        <f>SUM(R23:T23)</f>
        <v>0.28679632546537576</v>
      </c>
    </row>
    <row r="26" spans="2:20" hidden="1" x14ac:dyDescent="0.2"/>
    <row r="27" spans="2:20" hidden="1" x14ac:dyDescent="0.2">
      <c r="C27" s="8">
        <f>E15</f>
        <v>0.70706033376123234</v>
      </c>
      <c r="D27" s="8">
        <f>E16</f>
        <v>0.20141206675224646</v>
      </c>
      <c r="E27" s="8">
        <f>E17</f>
        <v>9.1527599486521186E-2</v>
      </c>
      <c r="H27" s="8">
        <f>J15</f>
        <v>0.1787878787878788</v>
      </c>
      <c r="I27" s="8">
        <f>J16</f>
        <v>0.73939393939393938</v>
      </c>
      <c r="J27" s="8">
        <f>J17</f>
        <v>8.1818181818181818E-2</v>
      </c>
      <c r="M27" s="8">
        <f>O15</f>
        <v>0.17179863147605082</v>
      </c>
      <c r="N27" s="8">
        <f>O16</f>
        <v>0.75301401107852717</v>
      </c>
      <c r="O27" s="8">
        <f>O17</f>
        <v>7.5187357445421946E-2</v>
      </c>
      <c r="R27" s="8">
        <f>T15</f>
        <v>0.32825987716230431</v>
      </c>
      <c r="S27" s="8">
        <f>T16</f>
        <v>0.57621861114670425</v>
      </c>
      <c r="T27" s="8">
        <f>T17</f>
        <v>9.5521511690991504E-2</v>
      </c>
    </row>
    <row r="28" spans="2:20" hidden="1" x14ac:dyDescent="0.2"/>
    <row r="29" spans="2:20" hidden="1" x14ac:dyDescent="0.2">
      <c r="C29" s="8">
        <f>C25/C27</f>
        <v>3.2009803921568634</v>
      </c>
      <c r="D29" s="8">
        <f t="shared" ref="D29:E29" si="33">D25/D27</f>
        <v>3.065391969407266</v>
      </c>
      <c r="E29" s="8">
        <f t="shared" si="33"/>
        <v>3.0210378681626926</v>
      </c>
      <c r="H29" s="8">
        <f>H25/H27</f>
        <v>3.0621468926553668</v>
      </c>
      <c r="I29" s="8">
        <f t="shared" ref="I29:J29" si="34">I25/I27</f>
        <v>3.2254098360655736</v>
      </c>
      <c r="J29" s="8">
        <f t="shared" si="34"/>
        <v>3.0194003527336859</v>
      </c>
      <c r="M29" s="8">
        <f>M25/M27</f>
        <v>3.0434645171487276</v>
      </c>
      <c r="N29" s="8">
        <f t="shared" ref="N29:O29" si="35">N25/N27</f>
        <v>3.1676763305928168</v>
      </c>
      <c r="O29" s="8">
        <f t="shared" si="35"/>
        <v>3.0135427952329361</v>
      </c>
      <c r="R29" s="8">
        <f>R25/R27</f>
        <v>3.0089455609815166</v>
      </c>
      <c r="S29" s="8">
        <f t="shared" ref="S29:T29" si="36">S25/S27</f>
        <v>3.0147493452380525</v>
      </c>
      <c r="T29" s="8">
        <f t="shared" si="36"/>
        <v>3.0024265779330532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3.0958034099089407</v>
      </c>
      <c r="I31" s="8" t="s">
        <v>20</v>
      </c>
      <c r="J31" s="8">
        <f>AVERAGE(H29:J29)</f>
        <v>3.1023190271515424</v>
      </c>
      <c r="N31" s="8" t="s">
        <v>20</v>
      </c>
      <c r="O31" s="8">
        <f>AVERAGE(M29:O29)</f>
        <v>3.0748945476581606</v>
      </c>
      <c r="S31" s="8" t="s">
        <v>20</v>
      </c>
      <c r="T31" s="8">
        <f>AVERAGE(R29:T29)</f>
        <v>3.0087071613842071</v>
      </c>
    </row>
    <row r="32" spans="2:20" hidden="1" x14ac:dyDescent="0.2">
      <c r="D32" s="8" t="s">
        <v>21</v>
      </c>
      <c r="E32" s="8">
        <f>(E31-3)/2</f>
        <v>4.7901704954470326E-2</v>
      </c>
      <c r="I32" s="8" t="s">
        <v>21</v>
      </c>
      <c r="J32" s="8">
        <f>(J31-3)/2</f>
        <v>5.1159513575771198E-2</v>
      </c>
      <c r="N32" s="8" t="s">
        <v>21</v>
      </c>
      <c r="O32" s="8">
        <f>(O31-3)/2</f>
        <v>3.7447273829080308E-2</v>
      </c>
      <c r="S32" s="8" t="s">
        <v>21</v>
      </c>
      <c r="T32" s="8">
        <f>(T31-3)/2</f>
        <v>4.3535806921035647E-3</v>
      </c>
    </row>
    <row r="33" spans="4:20" x14ac:dyDescent="0.2">
      <c r="D33" s="8" t="s">
        <v>22</v>
      </c>
      <c r="E33" s="8">
        <f>E32/0.52</f>
        <v>9.2118663373981391E-2</v>
      </c>
      <c r="I33" s="8" t="s">
        <v>22</v>
      </c>
      <c r="J33" s="8">
        <f>J32/0.52</f>
        <v>9.8383679953406147E-2</v>
      </c>
      <c r="N33" s="8" t="s">
        <v>22</v>
      </c>
      <c r="O33" s="8">
        <f>O32/0.52</f>
        <v>7.2013988132846748E-2</v>
      </c>
      <c r="S33" s="8" t="s">
        <v>22</v>
      </c>
      <c r="T33" s="8">
        <f>T32/0.52</f>
        <v>8.3722705617376245E-3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07FB-3D26-4E4A-ABD3-D5E471659FBE}">
  <dimension ref="B3:T33"/>
  <sheetViews>
    <sheetView workbookViewId="0">
      <selection activeCell="T15" sqref="T15:T17"/>
    </sheetView>
  </sheetViews>
  <sheetFormatPr baseColWidth="10" defaultColWidth="8.83203125" defaultRowHeight="15" x14ac:dyDescent="0.2"/>
  <sheetData>
    <row r="3" spans="2:20" x14ac:dyDescent="0.2">
      <c r="B3" s="8"/>
      <c r="C3" s="8" t="str">
        <f>B4</f>
        <v>Za operativno funkcioniranje potreban je 1 zaposlenik za nadzor sustava i povremene korekcije modela.</v>
      </c>
      <c r="D3" s="8" t="str">
        <f>B5</f>
        <v>Smanjuje potrebu za administracijom za 1–2 zaposlenika u odnosu na AS IS stanje.</v>
      </c>
      <c r="E3" s="8" t="str">
        <f>B6</f>
        <v>Za provedbu je potreban 1 edukator, dok se administrativni poslovi obavljaju bez dodatnog osoblja.</v>
      </c>
      <c r="G3" s="8"/>
      <c r="H3" s="8" t="str">
        <f>G4</f>
        <v>Za operativno funkcioniranje potreban je 1 zaposlenik za nadzor sustava i povremene korekcije modela.</v>
      </c>
      <c r="I3" s="8" t="str">
        <f>G5</f>
        <v>Smanjuje potrebu za administracijom za 1–2 zaposlenika u odnosu na AS IS stanje.</v>
      </c>
      <c r="J3" s="8" t="str">
        <f>G6</f>
        <v>Za provedbu je potreban 1 edukator, dok se administrativni poslovi obavljaju bez dodatnog osoblja.</v>
      </c>
      <c r="L3" s="8"/>
      <c r="M3" s="8" t="str">
        <f>L4</f>
        <v>Za operativno funkcioniranje potreban je 1 zaposlenik za nadzor sustava i povremene korekcije modela.</v>
      </c>
      <c r="N3" s="8" t="str">
        <f>L5</f>
        <v>Smanjuje potrebu za administracijom za 1–2 zaposlenika u odnosu na AS IS stanje.</v>
      </c>
      <c r="O3" s="8" t="str">
        <f>L6</f>
        <v>Za provedbu je potreban 1 edukator, dok se administrativni poslovi obavljaju bez dodatnog osoblja.</v>
      </c>
      <c r="Q3" s="8"/>
      <c r="R3" s="8" t="str">
        <f>Q4</f>
        <v>Za operativno funkcioniranje potreban je 1 zaposlenik za nadzor sustava i povremene korekcije modela.</v>
      </c>
      <c r="S3" s="8" t="str">
        <f>Q5</f>
        <v>Smanjuje potrebu za administracijom za 1–2 zaposlenika u odnosu na AS IS stanje.</v>
      </c>
      <c r="T3" s="8" t="str">
        <f>Q6</f>
        <v>Za provedbu je potreban 1 edukator, dok se administrativni poslovi obavljaju bez dodatnog osoblja.</v>
      </c>
    </row>
    <row r="4" spans="2:20" x14ac:dyDescent="0.2">
      <c r="B4" s="9" t="s">
        <v>31</v>
      </c>
      <c r="C4" s="8">
        <v>1</v>
      </c>
      <c r="D4" s="8">
        <v>2</v>
      </c>
      <c r="E4" s="8">
        <v>3</v>
      </c>
      <c r="G4" s="8" t="str">
        <f>B4</f>
        <v>Za operativno funkcioniranje potreban je 1 zaposlenik za nadzor sustava i povremene korekcije modela.</v>
      </c>
      <c r="H4" s="8">
        <v>1</v>
      </c>
      <c r="I4" s="8">
        <v>1</v>
      </c>
      <c r="J4" s="8">
        <v>2</v>
      </c>
      <c r="L4" s="8" t="str">
        <f>G4</f>
        <v>Za operativno funkcioniranje potreban je 1 zaposlenik za nadzor sustava i povremene korekcije modela.</v>
      </c>
      <c r="M4" s="8">
        <v>1</v>
      </c>
      <c r="N4" s="8">
        <v>1</v>
      </c>
      <c r="O4" s="8">
        <v>2</v>
      </c>
      <c r="Q4" s="8" t="str">
        <f>L4</f>
        <v>Za operativno funkcioniranje potreban je 1 zaposlenik za nadzor sustava i povremene korekcije modela.</v>
      </c>
      <c r="R4" s="8">
        <f>GEOMEAN(C4,H4,M4)</f>
        <v>1</v>
      </c>
      <c r="S4" s="8">
        <f t="shared" ref="S4:T6" si="0">GEOMEAN(D4,I4,N4)</f>
        <v>1.2599210498948732</v>
      </c>
      <c r="T4" s="8">
        <f t="shared" si="0"/>
        <v>2.2894284851066637</v>
      </c>
    </row>
    <row r="5" spans="2:20" x14ac:dyDescent="0.2">
      <c r="B5" s="9" t="s">
        <v>40</v>
      </c>
      <c r="C5" s="8">
        <f>1/2</f>
        <v>0.5</v>
      </c>
      <c r="D5" s="8">
        <v>1</v>
      </c>
      <c r="E5" s="8">
        <v>2</v>
      </c>
      <c r="G5" s="8" t="str">
        <f t="shared" ref="G5:G6" si="1">B5</f>
        <v>Smanjuje potrebu za administracijom za 1–2 zaposlenika u odnosu na AS IS stanje.</v>
      </c>
      <c r="H5" s="8">
        <v>1</v>
      </c>
      <c r="I5" s="8">
        <v>1</v>
      </c>
      <c r="J5" s="8">
        <v>2</v>
      </c>
      <c r="L5" s="8" t="str">
        <f t="shared" ref="L5:L6" si="2">G5</f>
        <v>Smanjuje potrebu za administracijom za 1–2 zaposlenika u odnosu na AS IS stanje.</v>
      </c>
      <c r="M5" s="8">
        <v>1</v>
      </c>
      <c r="N5" s="8">
        <v>1</v>
      </c>
      <c r="O5" s="8">
        <v>2</v>
      </c>
      <c r="Q5" s="8" t="str">
        <f t="shared" ref="Q5:Q6" si="3">L5</f>
        <v>Smanjuje potrebu za administracijom za 1–2 zaposlenika u odnosu na AS IS stanje.</v>
      </c>
      <c r="R5" s="8">
        <f t="shared" ref="R5:R6" si="4">GEOMEAN(C5,H5,M5)</f>
        <v>0.79370052598409979</v>
      </c>
      <c r="S5" s="8">
        <f t="shared" si="0"/>
        <v>1</v>
      </c>
      <c r="T5" s="8">
        <f t="shared" si="0"/>
        <v>2</v>
      </c>
    </row>
    <row r="6" spans="2:20" x14ac:dyDescent="0.2">
      <c r="B6" s="9" t="s">
        <v>49</v>
      </c>
      <c r="C6" s="8">
        <f>1/3</f>
        <v>0.33333333333333331</v>
      </c>
      <c r="D6" s="8">
        <f>1/2</f>
        <v>0.5</v>
      </c>
      <c r="E6" s="8">
        <v>1</v>
      </c>
      <c r="G6" s="8" t="str">
        <f t="shared" si="1"/>
        <v>Za provedbu je potreban 1 edukator, dok se administrativni poslovi obavljaju bez dodatnog osoblja.</v>
      </c>
      <c r="H6" s="8">
        <f>1/2</f>
        <v>0.5</v>
      </c>
      <c r="I6" s="8">
        <f>1/2</f>
        <v>0.5</v>
      </c>
      <c r="J6" s="8">
        <v>1</v>
      </c>
      <c r="L6" s="8" t="str">
        <f t="shared" si="2"/>
        <v>Za provedbu je potreban 1 edukator, dok se administrativni poslovi obavljaju bez dodatnog osoblja.</v>
      </c>
      <c r="M6" s="8">
        <f>1/2</f>
        <v>0.5</v>
      </c>
      <c r="N6" s="8">
        <f>1/2</f>
        <v>0.5</v>
      </c>
      <c r="O6" s="8">
        <v>1</v>
      </c>
      <c r="Q6" s="8" t="str">
        <f t="shared" si="3"/>
        <v>Za provedbu je potreban 1 edukator, dok se administrativni poslovi obavljaju bez dodatnog osoblja.</v>
      </c>
      <c r="R6" s="8">
        <f t="shared" si="4"/>
        <v>0.43679023236814946</v>
      </c>
      <c r="S6" s="8">
        <f t="shared" si="0"/>
        <v>0.5</v>
      </c>
      <c r="T6" s="8">
        <f t="shared" si="0"/>
        <v>1</v>
      </c>
    </row>
    <row r="8" spans="2:20" hidden="1" x14ac:dyDescent="0.2">
      <c r="C8" s="8">
        <f>SUM(C4:C6)</f>
        <v>1.8333333333333333</v>
      </c>
      <c r="D8" s="8">
        <f t="shared" ref="D8:E8" si="5">SUM(D4:D6)</f>
        <v>3.5</v>
      </c>
      <c r="E8" s="8">
        <f t="shared" si="5"/>
        <v>6</v>
      </c>
      <c r="H8" s="8">
        <f>SUM(H4:H6)</f>
        <v>2.5</v>
      </c>
      <c r="I8" s="8">
        <f t="shared" ref="I8:J8" si="6">SUM(I4:I6)</f>
        <v>2.5</v>
      </c>
      <c r="J8" s="8">
        <f t="shared" si="6"/>
        <v>5</v>
      </c>
      <c r="M8" s="8">
        <f>SUM(M4:M6)</f>
        <v>2.5</v>
      </c>
      <c r="N8" s="8">
        <f t="shared" ref="N8:O8" si="7">SUM(N4:N6)</f>
        <v>2.5</v>
      </c>
      <c r="O8" s="8">
        <f t="shared" si="7"/>
        <v>5</v>
      </c>
      <c r="R8" s="8">
        <f>SUM(R4:R6)</f>
        <v>2.2304907583522491</v>
      </c>
      <c r="S8" s="8">
        <f t="shared" ref="S8:T8" si="8">SUM(S4:S6)</f>
        <v>2.7599210498948734</v>
      </c>
      <c r="T8" s="8">
        <f t="shared" si="8"/>
        <v>5.2894284851066633</v>
      </c>
    </row>
    <row r="9" spans="2:20" hidden="1" x14ac:dyDescent="0.2"/>
    <row r="10" spans="2:20" hidden="1" x14ac:dyDescent="0.2"/>
    <row r="11" spans="2:20" hidden="1" x14ac:dyDescent="0.2">
      <c r="C11" s="8">
        <f>C4/C$8</f>
        <v>0.54545454545454553</v>
      </c>
      <c r="D11" s="8">
        <f>D4/D$8</f>
        <v>0.5714285714285714</v>
      </c>
      <c r="E11" s="8">
        <f>E4/E$8</f>
        <v>0.5</v>
      </c>
      <c r="H11" s="8">
        <f>H4/H$8</f>
        <v>0.4</v>
      </c>
      <c r="I11" s="8">
        <f>I4/I$8</f>
        <v>0.4</v>
      </c>
      <c r="J11" s="8">
        <f>J4/J$8</f>
        <v>0.4</v>
      </c>
      <c r="M11" s="8">
        <f>M4/M$8</f>
        <v>0.4</v>
      </c>
      <c r="N11" s="8">
        <f>N4/N$8</f>
        <v>0.4</v>
      </c>
      <c r="O11" s="8">
        <f>O4/O$8</f>
        <v>0.4</v>
      </c>
      <c r="R11" s="8">
        <f>R4/R$8</f>
        <v>0.44833182843525393</v>
      </c>
      <c r="S11" s="8">
        <f>S4/S$8</f>
        <v>0.45650619242998425</v>
      </c>
      <c r="T11" s="8">
        <f>T4/T$8</f>
        <v>0.43283097437709217</v>
      </c>
    </row>
    <row r="12" spans="2:20" hidden="1" x14ac:dyDescent="0.2">
      <c r="C12" s="8">
        <f t="shared" ref="C12:E13" si="9">C5/C$8</f>
        <v>0.27272727272727276</v>
      </c>
      <c r="D12" s="8">
        <f t="shared" si="9"/>
        <v>0.2857142857142857</v>
      </c>
      <c r="E12" s="8">
        <f t="shared" si="9"/>
        <v>0.33333333333333331</v>
      </c>
      <c r="H12" s="8">
        <f t="shared" ref="H12:J13" si="10">H5/H$8</f>
        <v>0.4</v>
      </c>
      <c r="I12" s="8">
        <f t="shared" si="10"/>
        <v>0.4</v>
      </c>
      <c r="J12" s="8">
        <f t="shared" si="10"/>
        <v>0.4</v>
      </c>
      <c r="M12" s="8">
        <f t="shared" ref="M12:O13" si="11">M5/M$8</f>
        <v>0.4</v>
      </c>
      <c r="N12" s="8">
        <f t="shared" si="11"/>
        <v>0.4</v>
      </c>
      <c r="O12" s="8">
        <f t="shared" si="11"/>
        <v>0.4</v>
      </c>
      <c r="R12" s="8">
        <f t="shared" ref="R12:T13" si="12">R5/R$8</f>
        <v>0.35584120804447422</v>
      </c>
      <c r="S12" s="8">
        <f t="shared" si="12"/>
        <v>0.36232920504667715</v>
      </c>
      <c r="T12" s="8">
        <f t="shared" si="12"/>
        <v>0.37811268374860524</v>
      </c>
    </row>
    <row r="13" spans="2:20" hidden="1" x14ac:dyDescent="0.2">
      <c r="C13" s="8">
        <f t="shared" si="9"/>
        <v>0.18181818181818182</v>
      </c>
      <c r="D13" s="8">
        <f t="shared" si="9"/>
        <v>0.14285714285714285</v>
      </c>
      <c r="E13" s="8">
        <f t="shared" si="9"/>
        <v>0.16666666666666666</v>
      </c>
      <c r="H13" s="8">
        <f t="shared" si="10"/>
        <v>0.2</v>
      </c>
      <c r="I13" s="8">
        <f t="shared" si="10"/>
        <v>0.2</v>
      </c>
      <c r="J13" s="8">
        <f t="shared" si="10"/>
        <v>0.2</v>
      </c>
      <c r="M13" s="8">
        <f t="shared" si="11"/>
        <v>0.2</v>
      </c>
      <c r="N13" s="8">
        <f t="shared" si="11"/>
        <v>0.2</v>
      </c>
      <c r="O13" s="8">
        <f t="shared" si="11"/>
        <v>0.2</v>
      </c>
      <c r="R13" s="8">
        <f t="shared" si="12"/>
        <v>0.19582696352027187</v>
      </c>
      <c r="S13" s="8">
        <f t="shared" si="12"/>
        <v>0.18116460252333857</v>
      </c>
      <c r="T13" s="8">
        <f t="shared" si="12"/>
        <v>0.18905634187430262</v>
      </c>
    </row>
    <row r="14" spans="2:20" hidden="1" x14ac:dyDescent="0.2"/>
    <row r="15" spans="2:20" x14ac:dyDescent="0.2">
      <c r="D15" s="8" t="str">
        <f>B4</f>
        <v>Za operativno funkcioniranje potreban je 1 zaposlenik za nadzor sustava i povremene korekcije modela.</v>
      </c>
      <c r="E15" s="8">
        <f>AVERAGE(C11:E11)</f>
        <v>0.53896103896103897</v>
      </c>
      <c r="I15" s="8" t="str">
        <f>G4</f>
        <v>Za operativno funkcioniranje potreban je 1 zaposlenik za nadzor sustava i povremene korekcije modela.</v>
      </c>
      <c r="J15" s="8">
        <f>AVERAGE(H11:J11)</f>
        <v>0.40000000000000008</v>
      </c>
      <c r="N15" s="8" t="str">
        <f>L4</f>
        <v>Za operativno funkcioniranje potreban je 1 zaposlenik za nadzor sustava i povremene korekcije modela.</v>
      </c>
      <c r="O15" s="8">
        <f>AVERAGE(M11:O11)</f>
        <v>0.40000000000000008</v>
      </c>
      <c r="S15" s="8" t="str">
        <f>Q4</f>
        <v>Za operativno funkcioniranje potreban je 1 zaposlenik za nadzor sustava i povremene korekcije modela.</v>
      </c>
      <c r="T15" s="11">
        <f>AVERAGE(R11:T11)</f>
        <v>0.44588966508077682</v>
      </c>
    </row>
    <row r="16" spans="2:20" x14ac:dyDescent="0.2">
      <c r="D16" s="8" t="str">
        <f t="shared" ref="D16:D17" si="13">B5</f>
        <v>Smanjuje potrebu za administracijom za 1–2 zaposlenika u odnosu na AS IS stanje.</v>
      </c>
      <c r="E16" s="8">
        <f t="shared" ref="E16:E17" si="14">AVERAGE(C12:E12)</f>
        <v>0.29725829725829728</v>
      </c>
      <c r="I16" s="8" t="str">
        <f t="shared" ref="I16:I17" si="15">G5</f>
        <v>Smanjuje potrebu za administracijom za 1–2 zaposlenika u odnosu na AS IS stanje.</v>
      </c>
      <c r="J16" s="8">
        <f t="shared" ref="J16:J17" si="16">AVERAGE(H12:J12)</f>
        <v>0.40000000000000008</v>
      </c>
      <c r="N16" s="8" t="str">
        <f t="shared" ref="N16:N17" si="17">L5</f>
        <v>Smanjuje potrebu za administracijom za 1–2 zaposlenika u odnosu na AS IS stanje.</v>
      </c>
      <c r="O16" s="8">
        <f t="shared" ref="O16:O17" si="18">AVERAGE(M12:O12)</f>
        <v>0.40000000000000008</v>
      </c>
      <c r="S16" s="8" t="str">
        <f t="shared" ref="S16:S17" si="19">Q5</f>
        <v>Smanjuje potrebu za administracijom za 1–2 zaposlenika u odnosu na AS IS stanje.</v>
      </c>
      <c r="T16" s="11">
        <f t="shared" ref="T16:T17" si="20">AVERAGE(R12:T12)</f>
        <v>0.3654276989465855</v>
      </c>
    </row>
    <row r="17" spans="2:20" x14ac:dyDescent="0.2">
      <c r="D17" s="8" t="str">
        <f t="shared" si="13"/>
        <v>Za provedbu je potreban 1 edukator, dok se administrativni poslovi obavljaju bez dodatnog osoblja.</v>
      </c>
      <c r="E17" s="8">
        <f t="shared" si="14"/>
        <v>0.16378066378066378</v>
      </c>
      <c r="I17" s="8" t="str">
        <f t="shared" si="15"/>
        <v>Za provedbu je potreban 1 edukator, dok se administrativni poslovi obavljaju bez dodatnog osoblja.</v>
      </c>
      <c r="J17" s="8">
        <f t="shared" si="16"/>
        <v>0.20000000000000004</v>
      </c>
      <c r="N17" s="8" t="str">
        <f t="shared" si="17"/>
        <v>Za provedbu je potreban 1 edukator, dok se administrativni poslovi obavljaju bez dodatnog osoblja.</v>
      </c>
      <c r="O17" s="8">
        <f t="shared" si="18"/>
        <v>0.20000000000000004</v>
      </c>
      <c r="S17" s="8" t="str">
        <f t="shared" si="19"/>
        <v>Za provedbu je potreban 1 edukator, dok se administrativni poslovi obavljaju bez dodatnog osoblja.</v>
      </c>
      <c r="T17" s="11">
        <f t="shared" si="20"/>
        <v>0.18868263597263768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0.53896103896103897</v>
      </c>
      <c r="D21" s="8">
        <f>D4*E$16</f>
        <v>0.59451659451659455</v>
      </c>
      <c r="E21" s="8">
        <f>E4*E$17</f>
        <v>0.4913419913419913</v>
      </c>
      <c r="H21" s="8">
        <f>H4*J$15</f>
        <v>0.40000000000000008</v>
      </c>
      <c r="I21" s="8">
        <f>I4*J$16</f>
        <v>0.40000000000000008</v>
      </c>
      <c r="J21" s="8">
        <f>J4*J$17</f>
        <v>0.40000000000000008</v>
      </c>
      <c r="M21" s="8">
        <f>M4*O$15</f>
        <v>0.40000000000000008</v>
      </c>
      <c r="N21" s="8">
        <f>N4*O$16</f>
        <v>0.40000000000000008</v>
      </c>
      <c r="O21" s="8">
        <f>O4*O$17</f>
        <v>0.40000000000000008</v>
      </c>
      <c r="R21" s="8">
        <f>R4*T$15</f>
        <v>0.44588966508077682</v>
      </c>
      <c r="S21" s="8">
        <f>S4*T$16</f>
        <v>0.46041005011744968</v>
      </c>
      <c r="T21" s="8">
        <f>T4*T$17</f>
        <v>0.43197540144076796</v>
      </c>
    </row>
    <row r="22" spans="2:20" hidden="1" x14ac:dyDescent="0.2">
      <c r="C22" s="8">
        <f t="shared" ref="C22:C23" si="21">C5*E$15</f>
        <v>0.26948051948051949</v>
      </c>
      <c r="D22" s="8">
        <f t="shared" ref="D22:D23" si="22">D5*E$16</f>
        <v>0.29725829725829728</v>
      </c>
      <c r="E22" s="8">
        <f t="shared" ref="E22:E23" si="23">E5*E$17</f>
        <v>0.32756132756132755</v>
      </c>
      <c r="H22" s="8">
        <f t="shared" ref="H22:H23" si="24">H5*J$15</f>
        <v>0.40000000000000008</v>
      </c>
      <c r="I22" s="8">
        <f t="shared" ref="I22:I23" si="25">I5*J$16</f>
        <v>0.40000000000000008</v>
      </c>
      <c r="J22" s="8">
        <f t="shared" ref="J22:J23" si="26">J5*J$17</f>
        <v>0.40000000000000008</v>
      </c>
      <c r="M22" s="8">
        <f t="shared" ref="M22:M23" si="27">M5*O$15</f>
        <v>0.40000000000000008</v>
      </c>
      <c r="N22" s="8">
        <f t="shared" ref="N22:N23" si="28">N5*O$16</f>
        <v>0.40000000000000008</v>
      </c>
      <c r="O22" s="8">
        <f t="shared" ref="O22:O23" si="29">O5*O$17</f>
        <v>0.40000000000000008</v>
      </c>
      <c r="R22" s="8">
        <f t="shared" ref="R22:R23" si="30">R5*T$15</f>
        <v>0.35390286170548668</v>
      </c>
      <c r="S22" s="8">
        <f t="shared" ref="S22:S23" si="31">S5*T$16</f>
        <v>0.3654276989465855</v>
      </c>
      <c r="T22" s="8">
        <f t="shared" ref="T22:T23" si="32">T5*T$17</f>
        <v>0.37736527194527536</v>
      </c>
    </row>
    <row r="23" spans="2:20" hidden="1" x14ac:dyDescent="0.2">
      <c r="C23" s="8">
        <f t="shared" si="21"/>
        <v>0.17965367965367965</v>
      </c>
      <c r="D23" s="8">
        <f t="shared" si="22"/>
        <v>0.14862914862914864</v>
      </c>
      <c r="E23" s="8">
        <f t="shared" si="23"/>
        <v>0.16378066378066378</v>
      </c>
      <c r="H23" s="8">
        <f t="shared" si="24"/>
        <v>0.20000000000000004</v>
      </c>
      <c r="I23" s="8">
        <f t="shared" si="25"/>
        <v>0.20000000000000004</v>
      </c>
      <c r="J23" s="8">
        <f t="shared" si="26"/>
        <v>0.20000000000000004</v>
      </c>
      <c r="M23" s="8">
        <f t="shared" si="27"/>
        <v>0.20000000000000004</v>
      </c>
      <c r="N23" s="8">
        <f t="shared" si="28"/>
        <v>0.20000000000000004</v>
      </c>
      <c r="O23" s="8">
        <f t="shared" si="29"/>
        <v>0.20000000000000004</v>
      </c>
      <c r="R23" s="8">
        <f t="shared" si="30"/>
        <v>0.19476025042118886</v>
      </c>
      <c r="S23" s="8">
        <f t="shared" si="31"/>
        <v>0.18271384947329275</v>
      </c>
      <c r="T23" s="8">
        <f t="shared" si="32"/>
        <v>0.18868263597263768</v>
      </c>
    </row>
    <row r="24" spans="2:20" hidden="1" x14ac:dyDescent="0.2"/>
    <row r="25" spans="2:20" hidden="1" x14ac:dyDescent="0.2">
      <c r="C25" s="8">
        <f>SUM(C21:E21)</f>
        <v>1.6248196248196249</v>
      </c>
      <c r="D25" s="8">
        <f>SUM(C22:E22)</f>
        <v>0.89430014430014437</v>
      </c>
      <c r="E25" s="8">
        <f>SUM(C23:E23)</f>
        <v>0.49206349206349209</v>
      </c>
      <c r="H25" s="8">
        <f>SUM(H21:J21)</f>
        <v>1.2000000000000002</v>
      </c>
      <c r="I25" s="8">
        <f>SUM(H22:J22)</f>
        <v>1.2000000000000002</v>
      </c>
      <c r="J25" s="8">
        <f>SUM(H23:J23)</f>
        <v>0.60000000000000009</v>
      </c>
      <c r="M25" s="8">
        <f>SUM(M21:O21)</f>
        <v>1.2000000000000002</v>
      </c>
      <c r="N25" s="8">
        <f>SUM(M22:O22)</f>
        <v>1.2000000000000002</v>
      </c>
      <c r="O25" s="8">
        <f>SUM(M23:O23)</f>
        <v>0.60000000000000009</v>
      </c>
      <c r="R25" s="8">
        <f>SUM(R21:T21)</f>
        <v>1.3382751166389943</v>
      </c>
      <c r="S25" s="8">
        <f>SUM(R22:T22)</f>
        <v>1.0966958325973475</v>
      </c>
      <c r="T25" s="8">
        <f>SUM(R23:T23)</f>
        <v>0.56615673586711934</v>
      </c>
    </row>
    <row r="26" spans="2:20" hidden="1" x14ac:dyDescent="0.2"/>
    <row r="27" spans="2:20" hidden="1" x14ac:dyDescent="0.2">
      <c r="C27" s="8">
        <f>E15</f>
        <v>0.53896103896103897</v>
      </c>
      <c r="D27" s="8">
        <f>E16</f>
        <v>0.29725829725829728</v>
      </c>
      <c r="E27" s="8">
        <f>E17</f>
        <v>0.16378066378066378</v>
      </c>
      <c r="H27" s="8">
        <f>J15</f>
        <v>0.40000000000000008</v>
      </c>
      <c r="I27" s="8">
        <f>J16</f>
        <v>0.40000000000000008</v>
      </c>
      <c r="J27" s="8">
        <f>J17</f>
        <v>0.20000000000000004</v>
      </c>
      <c r="M27" s="8">
        <f>O15</f>
        <v>0.40000000000000008</v>
      </c>
      <c r="N27" s="8">
        <f>O16</f>
        <v>0.40000000000000008</v>
      </c>
      <c r="O27" s="8">
        <f>O17</f>
        <v>0.20000000000000004</v>
      </c>
      <c r="R27" s="8">
        <f>T15</f>
        <v>0.44588966508077682</v>
      </c>
      <c r="S27" s="8">
        <f>T16</f>
        <v>0.3654276989465855</v>
      </c>
      <c r="T27" s="8">
        <f>T17</f>
        <v>0.18868263597263768</v>
      </c>
    </row>
    <row r="28" spans="2:20" hidden="1" x14ac:dyDescent="0.2"/>
    <row r="29" spans="2:20" hidden="1" x14ac:dyDescent="0.2">
      <c r="C29" s="8">
        <f>C25/C27</f>
        <v>3.0147255689424366</v>
      </c>
      <c r="D29" s="8">
        <f t="shared" ref="D29:E29" si="33">D25/D27</f>
        <v>3.008495145631068</v>
      </c>
      <c r="E29" s="8">
        <f t="shared" si="33"/>
        <v>3.0044052863436126</v>
      </c>
      <c r="H29" s="8">
        <f>H25/H27</f>
        <v>3</v>
      </c>
      <c r="I29" s="8">
        <f t="shared" ref="I29:J29" si="34">I25/I27</f>
        <v>3</v>
      </c>
      <c r="J29" s="8">
        <f t="shared" si="34"/>
        <v>3</v>
      </c>
      <c r="M29" s="8">
        <f>M25/M27</f>
        <v>3</v>
      </c>
      <c r="N29" s="8">
        <f t="shared" ref="N29:O29" si="35">N25/N27</f>
        <v>3</v>
      </c>
      <c r="O29" s="8">
        <f t="shared" si="35"/>
        <v>3</v>
      </c>
      <c r="R29" s="8">
        <f>R25/R27</f>
        <v>3.0013593528716438</v>
      </c>
      <c r="S29" s="8">
        <f t="shared" ref="S29:T29" si="36">S25/S27</f>
        <v>3.0011294594218794</v>
      </c>
      <c r="T29" s="8">
        <f t="shared" si="36"/>
        <v>3.0005767777657191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3.0092086669723721</v>
      </c>
      <c r="I31" s="8" t="s">
        <v>20</v>
      </c>
      <c r="J31" s="8">
        <f>AVERAGE(H29:J29)</f>
        <v>3</v>
      </c>
      <c r="N31" s="8" t="s">
        <v>20</v>
      </c>
      <c r="O31" s="8">
        <f>AVERAGE(M29:O29)</f>
        <v>3</v>
      </c>
      <c r="S31" s="8" t="s">
        <v>20</v>
      </c>
      <c r="T31" s="8">
        <f>AVERAGE(R29:T29)</f>
        <v>3.0010218633530807</v>
      </c>
    </row>
    <row r="32" spans="2:20" hidden="1" x14ac:dyDescent="0.2">
      <c r="D32" s="8" t="s">
        <v>21</v>
      </c>
      <c r="E32" s="8">
        <f>(E31-3)/2</f>
        <v>4.6043334861860519E-3</v>
      </c>
      <c r="I32" s="8" t="s">
        <v>21</v>
      </c>
      <c r="J32" s="8">
        <f>(J31-3)/2</f>
        <v>0</v>
      </c>
      <c r="N32" s="8" t="s">
        <v>21</v>
      </c>
      <c r="O32" s="8">
        <f>(O31-3)/2</f>
        <v>0</v>
      </c>
      <c r="S32" s="8" t="s">
        <v>21</v>
      </c>
      <c r="T32" s="8">
        <f>(T31-3)/2</f>
        <v>5.1093167654037153E-4</v>
      </c>
    </row>
    <row r="33" spans="4:20" x14ac:dyDescent="0.2">
      <c r="D33" s="8" t="s">
        <v>22</v>
      </c>
      <c r="E33" s="8">
        <f>E32/0.52</f>
        <v>8.8544874734347145E-3</v>
      </c>
      <c r="I33" s="8" t="s">
        <v>22</v>
      </c>
      <c r="J33" s="8">
        <f>J32/0.52</f>
        <v>0</v>
      </c>
      <c r="N33" s="8" t="s">
        <v>22</v>
      </c>
      <c r="O33" s="8">
        <f>O32/0.52</f>
        <v>0</v>
      </c>
      <c r="S33" s="8" t="s">
        <v>22</v>
      </c>
      <c r="T33" s="8">
        <f>T32/0.52</f>
        <v>9.825609164237914E-4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EA43-8A73-2545-B9DB-C964658DC2B7}">
  <dimension ref="B3:T33"/>
  <sheetViews>
    <sheetView workbookViewId="0">
      <selection activeCell="T33" sqref="T33"/>
    </sheetView>
  </sheetViews>
  <sheetFormatPr baseColWidth="10" defaultColWidth="8.83203125" defaultRowHeight="15" x14ac:dyDescent="0.2"/>
  <sheetData>
    <row r="3" spans="2:20" x14ac:dyDescent="0.2">
      <c r="B3" s="8"/>
      <c r="C3" s="15">
        <f>B4</f>
        <v>0.97</v>
      </c>
      <c r="D3" s="15">
        <f>B5</f>
        <v>0.35</v>
      </c>
      <c r="E3" s="15">
        <f>B6</f>
        <v>0.7</v>
      </c>
      <c r="G3" s="8"/>
      <c r="H3" s="15">
        <f>G4</f>
        <v>0.97</v>
      </c>
      <c r="I3" s="15">
        <f>G5</f>
        <v>0.35</v>
      </c>
      <c r="J3" s="15">
        <f>G6</f>
        <v>0.7</v>
      </c>
      <c r="L3" s="8"/>
      <c r="M3" s="15">
        <f>L4</f>
        <v>0.97</v>
      </c>
      <c r="N3" s="15">
        <f>L5</f>
        <v>0.35</v>
      </c>
      <c r="O3" s="15">
        <f>L6</f>
        <v>0.7</v>
      </c>
      <c r="Q3" s="8"/>
      <c r="R3" s="15">
        <f>Q4</f>
        <v>0.97</v>
      </c>
      <c r="S3" s="15">
        <f>Q5</f>
        <v>0.35</v>
      </c>
      <c r="T3" s="15">
        <f>Q6</f>
        <v>0.7</v>
      </c>
    </row>
    <row r="4" spans="2:20" x14ac:dyDescent="0.2">
      <c r="B4" s="16">
        <v>0.97</v>
      </c>
      <c r="C4" s="8">
        <v>1</v>
      </c>
      <c r="D4" s="8">
        <v>2</v>
      </c>
      <c r="E4" s="8">
        <v>6</v>
      </c>
      <c r="G4" s="15">
        <f>B4</f>
        <v>0.97</v>
      </c>
      <c r="H4" s="8">
        <v>1</v>
      </c>
      <c r="I4" s="8">
        <v>6</v>
      </c>
      <c r="J4" s="8">
        <v>2</v>
      </c>
      <c r="L4" s="15">
        <f>G4</f>
        <v>0.97</v>
      </c>
      <c r="M4" s="8">
        <v>1</v>
      </c>
      <c r="N4" s="8">
        <v>7</v>
      </c>
      <c r="O4" s="8">
        <v>2</v>
      </c>
      <c r="Q4" s="15">
        <f>L4</f>
        <v>0.97</v>
      </c>
      <c r="R4" s="8">
        <f>GEOMEAN(C4,H4,M4)</f>
        <v>1</v>
      </c>
      <c r="S4" s="8">
        <f t="shared" ref="S4:T6" si="0">GEOMEAN(D4,I4,N4)</f>
        <v>4.379519139887889</v>
      </c>
      <c r="T4" s="8">
        <f t="shared" si="0"/>
        <v>2.8844991406148166</v>
      </c>
    </row>
    <row r="5" spans="2:20" x14ac:dyDescent="0.2">
      <c r="B5" s="16">
        <v>0.35</v>
      </c>
      <c r="C5" s="8">
        <f>1/2</f>
        <v>0.5</v>
      </c>
      <c r="D5" s="8">
        <v>1</v>
      </c>
      <c r="E5" s="8">
        <v>4</v>
      </c>
      <c r="G5" s="15">
        <f>B5</f>
        <v>0.35</v>
      </c>
      <c r="H5" s="8">
        <f>1/6</f>
        <v>0.16666666666666666</v>
      </c>
      <c r="I5" s="8">
        <v>1</v>
      </c>
      <c r="J5" s="8">
        <f>1/3</f>
        <v>0.33333333333333331</v>
      </c>
      <c r="L5" s="15">
        <f>G5</f>
        <v>0.35</v>
      </c>
      <c r="M5" s="8">
        <f>1/7</f>
        <v>0.14285714285714285</v>
      </c>
      <c r="N5" s="8">
        <v>1</v>
      </c>
      <c r="O5" s="8">
        <f>1/3</f>
        <v>0.33333333333333331</v>
      </c>
      <c r="Q5" s="15">
        <f>L5</f>
        <v>0.35</v>
      </c>
      <c r="R5" s="8">
        <f t="shared" ref="R5:R6" si="1">GEOMEAN(C5,H5,M5)</f>
        <v>0.2283355701981471</v>
      </c>
      <c r="S5" s="8">
        <f t="shared" si="0"/>
        <v>1</v>
      </c>
      <c r="T5" s="8">
        <f t="shared" si="0"/>
        <v>0.76314282836888792</v>
      </c>
    </row>
    <row r="6" spans="2:20" x14ac:dyDescent="0.2">
      <c r="B6" s="16">
        <v>0.7</v>
      </c>
      <c r="C6" s="8">
        <f>1/6</f>
        <v>0.16666666666666666</v>
      </c>
      <c r="D6" s="8">
        <f>1/4</f>
        <v>0.25</v>
      </c>
      <c r="E6" s="8">
        <v>1</v>
      </c>
      <c r="G6" s="15">
        <f>B6</f>
        <v>0.7</v>
      </c>
      <c r="H6" s="8">
        <f>1/2</f>
        <v>0.5</v>
      </c>
      <c r="I6" s="8">
        <v>3</v>
      </c>
      <c r="J6" s="8">
        <v>1</v>
      </c>
      <c r="L6" s="15">
        <f>G6</f>
        <v>0.7</v>
      </c>
      <c r="M6" s="8">
        <f>1/2</f>
        <v>0.5</v>
      </c>
      <c r="N6" s="8">
        <v>3</v>
      </c>
      <c r="O6" s="8">
        <v>1</v>
      </c>
      <c r="Q6" s="15">
        <f>L6</f>
        <v>0.7</v>
      </c>
      <c r="R6" s="8">
        <f t="shared" si="1"/>
        <v>0.34668063717531733</v>
      </c>
      <c r="S6" s="8">
        <f t="shared" si="0"/>
        <v>1.3103706971044482</v>
      </c>
      <c r="T6" s="8">
        <f t="shared" si="0"/>
        <v>1</v>
      </c>
    </row>
    <row r="8" spans="2:20" hidden="1" x14ac:dyDescent="0.2">
      <c r="C8" s="8">
        <f>SUM(C4:C6)</f>
        <v>1.6666666666666667</v>
      </c>
      <c r="D8" s="8">
        <f t="shared" ref="D8:E8" si="2">SUM(D4:D6)</f>
        <v>3.25</v>
      </c>
      <c r="E8" s="8">
        <f t="shared" si="2"/>
        <v>11</v>
      </c>
      <c r="H8" s="8">
        <f>SUM(H4:H6)</f>
        <v>1.6666666666666667</v>
      </c>
      <c r="I8" s="8">
        <f t="shared" ref="I8:J8" si="3">SUM(I4:I6)</f>
        <v>10</v>
      </c>
      <c r="J8" s="8">
        <f t="shared" si="3"/>
        <v>3.3333333333333335</v>
      </c>
      <c r="M8" s="8">
        <f>SUM(M4:M6)</f>
        <v>1.6428571428571428</v>
      </c>
      <c r="N8" s="8">
        <f t="shared" ref="N8:O8" si="4">SUM(N4:N6)</f>
        <v>11</v>
      </c>
      <c r="O8" s="8">
        <f t="shared" si="4"/>
        <v>3.3333333333333335</v>
      </c>
      <c r="R8" s="8">
        <f>SUM(R4:R6)</f>
        <v>1.5750162073734644</v>
      </c>
      <c r="S8" s="8">
        <f t="shared" ref="S8:T8" si="5">SUM(S4:S6)</f>
        <v>6.6898898369923376</v>
      </c>
      <c r="T8" s="8">
        <f t="shared" si="5"/>
        <v>4.6476419689837041</v>
      </c>
    </row>
    <row r="9" spans="2:20" hidden="1" x14ac:dyDescent="0.2"/>
    <row r="10" spans="2:20" hidden="1" x14ac:dyDescent="0.2"/>
    <row r="11" spans="2:20" hidden="1" x14ac:dyDescent="0.2">
      <c r="C11" s="8">
        <f>C4/C$8</f>
        <v>0.6</v>
      </c>
      <c r="D11" s="8">
        <f>D4/D$8</f>
        <v>0.61538461538461542</v>
      </c>
      <c r="E11" s="8">
        <f>E4/E$8</f>
        <v>0.54545454545454541</v>
      </c>
      <c r="H11" s="8">
        <f>H4/H$8</f>
        <v>0.6</v>
      </c>
      <c r="I11" s="8">
        <f>I4/I$8</f>
        <v>0.6</v>
      </c>
      <c r="J11" s="8">
        <f>J4/J$8</f>
        <v>0.6</v>
      </c>
      <c r="M11" s="8">
        <f>M4/M$8</f>
        <v>0.60869565217391308</v>
      </c>
      <c r="N11" s="8">
        <f>N4/N$8</f>
        <v>0.63636363636363635</v>
      </c>
      <c r="O11" s="8">
        <f>O4/O$8</f>
        <v>0.6</v>
      </c>
      <c r="R11" s="8">
        <f>R4/R$8</f>
        <v>0.63491410140320048</v>
      </c>
      <c r="S11" s="8">
        <f>S4/S$8</f>
        <v>0.65464742269311382</v>
      </c>
      <c r="T11" s="8">
        <f>T4/T$8</f>
        <v>0.62063712305394458</v>
      </c>
    </row>
    <row r="12" spans="2:20" hidden="1" x14ac:dyDescent="0.2">
      <c r="C12" s="8">
        <f t="shared" ref="C12:E13" si="6">C5/C$8</f>
        <v>0.3</v>
      </c>
      <c r="D12" s="8">
        <f t="shared" si="6"/>
        <v>0.30769230769230771</v>
      </c>
      <c r="E12" s="8">
        <f t="shared" si="6"/>
        <v>0.36363636363636365</v>
      </c>
      <c r="H12" s="8">
        <f t="shared" ref="H12:J13" si="7">H5/H$8</f>
        <v>9.9999999999999992E-2</v>
      </c>
      <c r="I12" s="8">
        <f t="shared" si="7"/>
        <v>0.1</v>
      </c>
      <c r="J12" s="8">
        <f t="shared" si="7"/>
        <v>9.9999999999999992E-2</v>
      </c>
      <c r="M12" s="8">
        <f t="shared" ref="M12:O13" si="8">M5/M$8</f>
        <v>8.6956521739130432E-2</v>
      </c>
      <c r="N12" s="8">
        <f t="shared" si="8"/>
        <v>9.0909090909090912E-2</v>
      </c>
      <c r="O12" s="8">
        <f t="shared" si="8"/>
        <v>9.9999999999999992E-2</v>
      </c>
      <c r="R12" s="8">
        <f t="shared" ref="R12:T13" si="9">R5/R$8</f>
        <v>0.14497347337074395</v>
      </c>
      <c r="S12" s="8">
        <f t="shared" si="9"/>
        <v>0.14947929253937958</v>
      </c>
      <c r="T12" s="8">
        <f t="shared" si="9"/>
        <v>0.16420000367105811</v>
      </c>
    </row>
    <row r="13" spans="2:20" hidden="1" x14ac:dyDescent="0.2">
      <c r="C13" s="8">
        <f t="shared" si="6"/>
        <v>9.9999999999999992E-2</v>
      </c>
      <c r="D13" s="8">
        <f t="shared" si="6"/>
        <v>7.6923076923076927E-2</v>
      </c>
      <c r="E13" s="8">
        <f t="shared" si="6"/>
        <v>9.0909090909090912E-2</v>
      </c>
      <c r="H13" s="8">
        <f t="shared" si="7"/>
        <v>0.3</v>
      </c>
      <c r="I13" s="8">
        <f t="shared" si="7"/>
        <v>0.3</v>
      </c>
      <c r="J13" s="8">
        <f t="shared" si="7"/>
        <v>0.3</v>
      </c>
      <c r="M13" s="8">
        <f t="shared" si="8"/>
        <v>0.30434782608695654</v>
      </c>
      <c r="N13" s="8">
        <f t="shared" si="8"/>
        <v>0.27272727272727271</v>
      </c>
      <c r="O13" s="8">
        <f t="shared" si="8"/>
        <v>0.3</v>
      </c>
      <c r="R13" s="8">
        <f t="shared" si="9"/>
        <v>0.22011242522605559</v>
      </c>
      <c r="S13" s="8">
        <f t="shared" si="9"/>
        <v>0.19587328476750657</v>
      </c>
      <c r="T13" s="8">
        <f t="shared" si="9"/>
        <v>0.21516287327499736</v>
      </c>
    </row>
    <row r="14" spans="2:20" hidden="1" x14ac:dyDescent="0.2"/>
    <row r="15" spans="2:20" x14ac:dyDescent="0.2">
      <c r="D15" s="15">
        <f>B4</f>
        <v>0.97</v>
      </c>
      <c r="E15" s="8">
        <f>AVERAGE(C11:E11)</f>
        <v>0.58694638694638701</v>
      </c>
      <c r="I15" s="15">
        <f>G4</f>
        <v>0.97</v>
      </c>
      <c r="J15" s="8">
        <f>AVERAGE(H11:J11)</f>
        <v>0.6</v>
      </c>
      <c r="N15" s="15">
        <f>L4</f>
        <v>0.97</v>
      </c>
      <c r="O15" s="8">
        <f>AVERAGE(M11:O11)</f>
        <v>0.6150197628458498</v>
      </c>
      <c r="S15" s="15">
        <f>Q4</f>
        <v>0.97</v>
      </c>
      <c r="T15" s="11">
        <f>AVERAGE(R11:T11)</f>
        <v>0.63673288238341963</v>
      </c>
    </row>
    <row r="16" spans="2:20" x14ac:dyDescent="0.2">
      <c r="D16" s="15">
        <f>B5</f>
        <v>0.35</v>
      </c>
      <c r="E16" s="8">
        <f t="shared" ref="E16:E17" si="10">AVERAGE(C12:E12)</f>
        <v>0.32377622377622378</v>
      </c>
      <c r="I16" s="15">
        <f>G5</f>
        <v>0.35</v>
      </c>
      <c r="J16" s="8">
        <f t="shared" ref="J16:J17" si="11">AVERAGE(H12:J12)</f>
        <v>9.9999999999999992E-2</v>
      </c>
      <c r="N16" s="15">
        <f>L5</f>
        <v>0.35</v>
      </c>
      <c r="O16" s="8">
        <f t="shared" ref="O16:O17" si="12">AVERAGE(M12:O12)</f>
        <v>9.2621870882740445E-2</v>
      </c>
      <c r="S16" s="15">
        <f>Q5</f>
        <v>0.35</v>
      </c>
      <c r="T16" s="11">
        <f t="shared" ref="T16:T17" si="13">AVERAGE(R12:T12)</f>
        <v>0.15288425652706053</v>
      </c>
    </row>
    <row r="17" spans="2:20" x14ac:dyDescent="0.2">
      <c r="D17" s="15">
        <f>B6</f>
        <v>0.7</v>
      </c>
      <c r="E17" s="8">
        <f t="shared" si="10"/>
        <v>8.9277389277389263E-2</v>
      </c>
      <c r="I17" s="15">
        <f>G6</f>
        <v>0.7</v>
      </c>
      <c r="J17" s="8">
        <f t="shared" si="11"/>
        <v>0.3</v>
      </c>
      <c r="N17" s="15">
        <f>L6</f>
        <v>0.7</v>
      </c>
      <c r="O17" s="8">
        <f t="shared" si="12"/>
        <v>0.29235836627140976</v>
      </c>
      <c r="S17" s="15">
        <f>Q6</f>
        <v>0.7</v>
      </c>
      <c r="T17" s="11">
        <f t="shared" si="13"/>
        <v>0.21038286108951984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0.58694638694638701</v>
      </c>
      <c r="D21" s="8">
        <f>D4*E$16</f>
        <v>0.64755244755244756</v>
      </c>
      <c r="E21" s="8">
        <f>E4*E$17</f>
        <v>0.53566433566433558</v>
      </c>
      <c r="H21" s="8">
        <f>H4*J$15</f>
        <v>0.6</v>
      </c>
      <c r="I21" s="8">
        <f>I4*J$16</f>
        <v>0.6</v>
      </c>
      <c r="J21" s="8">
        <f>J4*J$17</f>
        <v>0.6</v>
      </c>
      <c r="M21" s="8">
        <f>M4*O$15</f>
        <v>0.6150197628458498</v>
      </c>
      <c r="N21" s="8">
        <f>N4*O$16</f>
        <v>0.64835309617918313</v>
      </c>
      <c r="O21" s="8">
        <f>O4*O$17</f>
        <v>0.58471673254281953</v>
      </c>
      <c r="R21" s="8">
        <f>R4*T$15</f>
        <v>0.63673288238341963</v>
      </c>
      <c r="S21" s="8">
        <f>S4*T$16</f>
        <v>0.66955952764779147</v>
      </c>
      <c r="T21" s="8">
        <f>T4*T$17</f>
        <v>0.60684918201280635</v>
      </c>
    </row>
    <row r="22" spans="2:20" hidden="1" x14ac:dyDescent="0.2">
      <c r="C22" s="8">
        <f t="shared" ref="C22:C23" si="14">C5*E$15</f>
        <v>0.29347319347319351</v>
      </c>
      <c r="D22" s="8">
        <f t="shared" ref="D22:D23" si="15">D5*E$16</f>
        <v>0.32377622377622378</v>
      </c>
      <c r="E22" s="8">
        <f t="shared" ref="E22:E23" si="16">E5*E$17</f>
        <v>0.35710955710955705</v>
      </c>
      <c r="H22" s="8">
        <f t="shared" ref="H22:H23" si="17">H5*J$15</f>
        <v>9.9999999999999992E-2</v>
      </c>
      <c r="I22" s="8">
        <f t="shared" ref="I22:I23" si="18">I5*J$16</f>
        <v>9.9999999999999992E-2</v>
      </c>
      <c r="J22" s="8">
        <f t="shared" ref="J22:J23" si="19">J5*J$17</f>
        <v>9.9999999999999992E-2</v>
      </c>
      <c r="M22" s="8">
        <f t="shared" ref="M22:M23" si="20">M5*O$15</f>
        <v>8.7859966120835686E-2</v>
      </c>
      <c r="N22" s="8">
        <f t="shared" ref="N22:N23" si="21">N5*O$16</f>
        <v>9.2621870882740445E-2</v>
      </c>
      <c r="O22" s="8">
        <f t="shared" ref="O22:O23" si="22">O5*O$17</f>
        <v>9.7452788757136588E-2</v>
      </c>
      <c r="R22" s="8">
        <f t="shared" ref="R22:R23" si="23">R5*T$15</f>
        <v>0.14538876576292786</v>
      </c>
      <c r="S22" s="8">
        <f t="shared" ref="S22:S23" si="24">S5*T$16</f>
        <v>0.15288425652706053</v>
      </c>
      <c r="T22" s="8">
        <f t="shared" ref="T22:T23" si="25">T5*T$17</f>
        <v>0.16055217165219501</v>
      </c>
    </row>
    <row r="23" spans="2:20" hidden="1" x14ac:dyDescent="0.2">
      <c r="C23" s="8">
        <f t="shared" si="14"/>
        <v>9.7824397824397835E-2</v>
      </c>
      <c r="D23" s="8">
        <f t="shared" si="15"/>
        <v>8.0944055944055945E-2</v>
      </c>
      <c r="E23" s="8">
        <f t="shared" si="16"/>
        <v>8.9277389277389263E-2</v>
      </c>
      <c r="H23" s="8">
        <f t="shared" si="17"/>
        <v>0.3</v>
      </c>
      <c r="I23" s="8">
        <f t="shared" si="18"/>
        <v>0.3</v>
      </c>
      <c r="J23" s="8">
        <f t="shared" si="19"/>
        <v>0.3</v>
      </c>
      <c r="M23" s="8">
        <f t="shared" si="20"/>
        <v>0.3075098814229249</v>
      </c>
      <c r="N23" s="8">
        <f t="shared" si="21"/>
        <v>0.27786561264822135</v>
      </c>
      <c r="O23" s="8">
        <f t="shared" si="22"/>
        <v>0.29235836627140976</v>
      </c>
      <c r="R23" s="8">
        <f t="shared" si="23"/>
        <v>0.22074296137516031</v>
      </c>
      <c r="S23" s="8">
        <f t="shared" si="24"/>
        <v>0.20033504980165959</v>
      </c>
      <c r="T23" s="8">
        <f t="shared" si="25"/>
        <v>0.21038286108951984</v>
      </c>
    </row>
    <row r="24" spans="2:20" hidden="1" x14ac:dyDescent="0.2"/>
    <row r="25" spans="2:20" hidden="1" x14ac:dyDescent="0.2">
      <c r="C25" s="8">
        <f>SUM(C21:E21)</f>
        <v>1.7701631701631702</v>
      </c>
      <c r="D25" s="8">
        <f>SUM(C22:E22)</f>
        <v>0.97435897435897434</v>
      </c>
      <c r="E25" s="8">
        <f>SUM(C23:E23)</f>
        <v>0.26804584304584306</v>
      </c>
      <c r="H25" s="8">
        <f>SUM(H21:J21)</f>
        <v>1.7999999999999998</v>
      </c>
      <c r="I25" s="8">
        <f>SUM(H22:J22)</f>
        <v>0.3</v>
      </c>
      <c r="J25" s="8">
        <f>SUM(H23:J23)</f>
        <v>0.89999999999999991</v>
      </c>
      <c r="M25" s="8">
        <f>SUM(M21:O21)</f>
        <v>1.8480895915678524</v>
      </c>
      <c r="N25" s="8">
        <f>SUM(M22:O22)</f>
        <v>0.27793462576071271</v>
      </c>
      <c r="O25" s="8">
        <f>SUM(M23:O23)</f>
        <v>0.87773386034255596</v>
      </c>
      <c r="R25" s="8">
        <f>SUM(R21:T21)</f>
        <v>1.9131415920440176</v>
      </c>
      <c r="S25" s="8">
        <f>SUM(R22:T22)</f>
        <v>0.45882519394218346</v>
      </c>
      <c r="T25" s="8">
        <f>SUM(R23:T23)</f>
        <v>0.63146087226633973</v>
      </c>
    </row>
    <row r="26" spans="2:20" hidden="1" x14ac:dyDescent="0.2"/>
    <row r="27" spans="2:20" hidden="1" x14ac:dyDescent="0.2">
      <c r="C27" s="8">
        <f>E15</f>
        <v>0.58694638694638701</v>
      </c>
      <c r="D27" s="8">
        <f>E16</f>
        <v>0.32377622377622378</v>
      </c>
      <c r="E27" s="8">
        <f>E17</f>
        <v>8.9277389277389263E-2</v>
      </c>
      <c r="H27" s="8">
        <f>J15</f>
        <v>0.6</v>
      </c>
      <c r="I27" s="8">
        <f>J16</f>
        <v>9.9999999999999992E-2</v>
      </c>
      <c r="J27" s="8">
        <f>J17</f>
        <v>0.3</v>
      </c>
      <c r="M27" s="8">
        <f>O15</f>
        <v>0.6150197628458498</v>
      </c>
      <c r="N27" s="8">
        <f>O16</f>
        <v>9.2621870882740445E-2</v>
      </c>
      <c r="O27" s="8">
        <f>O17</f>
        <v>0.29235836627140976</v>
      </c>
      <c r="R27" s="8">
        <f>T15</f>
        <v>0.63673288238341963</v>
      </c>
      <c r="S27" s="8">
        <f>T16</f>
        <v>0.15288425652706053</v>
      </c>
      <c r="T27" s="8">
        <f>T17</f>
        <v>0.21038286108951984</v>
      </c>
    </row>
    <row r="28" spans="2:20" hidden="1" x14ac:dyDescent="0.2"/>
    <row r="29" spans="2:20" hidden="1" x14ac:dyDescent="0.2">
      <c r="C29" s="8">
        <f>C25/C27</f>
        <v>3.0158856235107225</v>
      </c>
      <c r="D29" s="8">
        <f t="shared" ref="D29:E29" si="26">D25/D27</f>
        <v>3.009359251259899</v>
      </c>
      <c r="E29" s="8">
        <f t="shared" si="26"/>
        <v>3.0023933855526552</v>
      </c>
      <c r="H29" s="8">
        <f>H25/H27</f>
        <v>3</v>
      </c>
      <c r="I29" s="8">
        <f t="shared" ref="I29:J29" si="27">I25/I27</f>
        <v>3</v>
      </c>
      <c r="J29" s="8">
        <f t="shared" si="27"/>
        <v>3</v>
      </c>
      <c r="M29" s="8">
        <f>M25/M27</f>
        <v>3.0049271636675234</v>
      </c>
      <c r="N29" s="8">
        <f t="shared" ref="N29:O29" si="28">N25/N27</f>
        <v>3.0007451060082637</v>
      </c>
      <c r="O29" s="8">
        <f t="shared" si="28"/>
        <v>3.002253267237494</v>
      </c>
      <c r="R29" s="8">
        <f>R25/R27</f>
        <v>3.0046219458350301</v>
      </c>
      <c r="S29" s="8">
        <f t="shared" ref="S29:T29" si="29">S25/S27</f>
        <v>3.0011278097883896</v>
      </c>
      <c r="T29" s="8">
        <f t="shared" si="29"/>
        <v>3.0014843842134429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3.009212753441092</v>
      </c>
      <c r="I31" s="8" t="s">
        <v>20</v>
      </c>
      <c r="J31" s="8">
        <f>AVERAGE(H29:J29)</f>
        <v>3</v>
      </c>
      <c r="N31" s="8" t="s">
        <v>20</v>
      </c>
      <c r="O31" s="8">
        <f>AVERAGE(M29:O29)</f>
        <v>3.0026418456377599</v>
      </c>
      <c r="S31" s="8" t="s">
        <v>20</v>
      </c>
      <c r="T31" s="8">
        <f>AVERAGE(R29:T29)</f>
        <v>3.0024113799456207</v>
      </c>
    </row>
    <row r="32" spans="2:20" hidden="1" x14ac:dyDescent="0.2">
      <c r="D32" s="8" t="s">
        <v>21</v>
      </c>
      <c r="E32" s="8">
        <f>(E31-3)/2</f>
        <v>4.6063767205459794E-3</v>
      </c>
      <c r="I32" s="8" t="s">
        <v>21</v>
      </c>
      <c r="J32" s="8">
        <f>(J31-3)/2</f>
        <v>0</v>
      </c>
      <c r="N32" s="8" t="s">
        <v>21</v>
      </c>
      <c r="O32" s="8">
        <f>(O31-3)/2</f>
        <v>1.320922818879966E-3</v>
      </c>
      <c r="S32" s="8" t="s">
        <v>21</v>
      </c>
      <c r="T32" s="8">
        <f>(T31-3)/2</f>
        <v>1.2056899728103421E-3</v>
      </c>
    </row>
    <row r="33" spans="4:20" s="117" customFormat="1" x14ac:dyDescent="0.2">
      <c r="D33" s="47" t="s">
        <v>22</v>
      </c>
      <c r="E33" s="47">
        <f>E32/0.52</f>
        <v>8.858416770280729E-3</v>
      </c>
      <c r="I33" s="47" t="s">
        <v>22</v>
      </c>
      <c r="J33" s="47">
        <f>J32/0.52</f>
        <v>0</v>
      </c>
      <c r="N33" s="47" t="s">
        <v>22</v>
      </c>
      <c r="O33" s="47">
        <f>O32/0.52</f>
        <v>2.5402361901537807E-3</v>
      </c>
      <c r="S33" s="47" t="s">
        <v>22</v>
      </c>
      <c r="T33" s="47">
        <f>T32/0.52</f>
        <v>2.3186345630968118E-3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9"/>
  <sheetViews>
    <sheetView tabSelected="1" zoomScaleNormal="91" workbookViewId="0">
      <selection activeCell="T22" sqref="T22"/>
    </sheetView>
  </sheetViews>
  <sheetFormatPr baseColWidth="10" defaultColWidth="9.1640625" defaultRowHeight="14" x14ac:dyDescent="0.15"/>
  <cols>
    <col min="1" max="1" width="15.5" style="1" customWidth="1"/>
    <col min="2" max="16" width="9.1640625" style="1"/>
    <col min="17" max="17" width="9.1640625" style="1" customWidth="1"/>
    <col min="18" max="19" width="9.1640625" style="1"/>
    <col min="20" max="20" width="24.83203125" style="1" customWidth="1"/>
    <col min="21" max="16384" width="9.1640625" style="1"/>
  </cols>
  <sheetData>
    <row r="1" spans="1:20" x14ac:dyDescent="0.15">
      <c r="A1" s="3" t="s">
        <v>11</v>
      </c>
    </row>
    <row r="3" spans="1:20" x14ac:dyDescent="0.15">
      <c r="A3" s="52"/>
      <c r="B3" s="55" t="s">
        <v>0</v>
      </c>
      <c r="C3" s="55"/>
      <c r="D3" s="55" t="s">
        <v>1</v>
      </c>
      <c r="E3" s="55"/>
      <c r="F3" s="55"/>
    </row>
    <row r="4" spans="1:20" x14ac:dyDescent="0.15">
      <c r="A4" s="54"/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</row>
    <row r="5" spans="1:20" x14ac:dyDescent="0.15">
      <c r="A5" s="6" t="s">
        <v>8</v>
      </c>
      <c r="B5" s="5" t="s">
        <v>12</v>
      </c>
      <c r="C5" s="5">
        <v>5</v>
      </c>
      <c r="D5" s="5">
        <v>4</v>
      </c>
      <c r="E5" s="5">
        <v>4.5999999999999996</v>
      </c>
      <c r="F5" s="5">
        <v>7</v>
      </c>
      <c r="S5" s="23" t="s">
        <v>103</v>
      </c>
      <c r="T5" s="23" t="s">
        <v>114</v>
      </c>
    </row>
    <row r="6" spans="1:20" x14ac:dyDescent="0.15">
      <c r="A6" s="6" t="s">
        <v>9</v>
      </c>
      <c r="B6" s="5" t="s">
        <v>13</v>
      </c>
      <c r="C6" s="5">
        <v>6</v>
      </c>
      <c r="D6" s="5">
        <v>4</v>
      </c>
      <c r="E6" s="5">
        <v>4.2</v>
      </c>
      <c r="F6" s="5">
        <v>5</v>
      </c>
      <c r="S6" s="23" t="s">
        <v>104</v>
      </c>
      <c r="T6" s="23" t="s">
        <v>115</v>
      </c>
    </row>
    <row r="7" spans="1:20" x14ac:dyDescent="0.15">
      <c r="A7" s="6" t="s">
        <v>10</v>
      </c>
      <c r="B7" s="5" t="s">
        <v>14</v>
      </c>
      <c r="C7" s="5">
        <v>3</v>
      </c>
      <c r="D7" s="5">
        <v>5</v>
      </c>
      <c r="E7" s="5">
        <v>3.2</v>
      </c>
      <c r="F7" s="5">
        <v>12</v>
      </c>
      <c r="S7" s="23" t="s">
        <v>105</v>
      </c>
      <c r="T7" s="23" t="s">
        <v>115</v>
      </c>
    </row>
    <row r="8" spans="1:20" x14ac:dyDescent="0.15">
      <c r="S8" s="23" t="s">
        <v>106</v>
      </c>
      <c r="T8" s="23" t="s">
        <v>115</v>
      </c>
    </row>
    <row r="9" spans="1:20" x14ac:dyDescent="0.15">
      <c r="A9" s="2" t="s">
        <v>15</v>
      </c>
      <c r="S9" s="23" t="s">
        <v>107</v>
      </c>
      <c r="T9" s="23" t="s">
        <v>115</v>
      </c>
    </row>
    <row r="10" spans="1:20" x14ac:dyDescent="0.15">
      <c r="S10" s="23" t="s">
        <v>108</v>
      </c>
      <c r="T10" s="23" t="s">
        <v>115</v>
      </c>
    </row>
    <row r="11" spans="1:20" x14ac:dyDescent="0.15">
      <c r="A11" s="52"/>
      <c r="B11" s="55" t="s">
        <v>0</v>
      </c>
      <c r="C11" s="55"/>
      <c r="D11" s="55" t="s">
        <v>1</v>
      </c>
      <c r="E11" s="55"/>
      <c r="F11" s="55"/>
      <c r="G11" s="56" t="s">
        <v>2</v>
      </c>
      <c r="S11" s="23" t="s">
        <v>109</v>
      </c>
      <c r="T11" s="23" t="s">
        <v>115</v>
      </c>
    </row>
    <row r="12" spans="1:20" x14ac:dyDescent="0.15">
      <c r="A12" s="53"/>
      <c r="B12" s="56"/>
      <c r="C12" s="56"/>
      <c r="D12" s="56"/>
      <c r="E12" s="56"/>
      <c r="F12" s="56"/>
      <c r="G12" s="56"/>
      <c r="S12" s="23" t="s">
        <v>127</v>
      </c>
      <c r="T12" s="23" t="s">
        <v>221</v>
      </c>
    </row>
    <row r="13" spans="1:20" x14ac:dyDescent="0.15">
      <c r="A13" s="53"/>
      <c r="B13" s="7" t="s">
        <v>3</v>
      </c>
      <c r="C13" s="7" t="s">
        <v>4</v>
      </c>
      <c r="D13" s="7" t="s">
        <v>5</v>
      </c>
      <c r="E13" s="7" t="s">
        <v>6</v>
      </c>
      <c r="F13" s="7" t="s">
        <v>7</v>
      </c>
      <c r="G13" s="56"/>
      <c r="S13" s="23" t="s">
        <v>128</v>
      </c>
      <c r="T13" s="23" t="s">
        <v>115</v>
      </c>
    </row>
    <row r="14" spans="1:20" x14ac:dyDescent="0.15">
      <c r="A14" s="54"/>
      <c r="B14" s="4"/>
      <c r="C14" s="4"/>
      <c r="D14" s="4"/>
      <c r="E14" s="4"/>
      <c r="F14" s="4"/>
      <c r="G14" s="56"/>
      <c r="S14" s="23" t="s">
        <v>129</v>
      </c>
      <c r="T14" s="23" t="s">
        <v>115</v>
      </c>
    </row>
    <row r="15" spans="1:20" x14ac:dyDescent="0.15">
      <c r="A15" s="6" t="s">
        <v>8</v>
      </c>
      <c r="B15" s="5"/>
      <c r="C15" s="5"/>
      <c r="D15" s="5"/>
      <c r="E15" s="5"/>
      <c r="F15" s="5"/>
      <c r="G15" s="5"/>
      <c r="S15" s="23" t="s">
        <v>130</v>
      </c>
      <c r="T15" s="23" t="s">
        <v>115</v>
      </c>
    </row>
    <row r="16" spans="1:20" x14ac:dyDescent="0.15">
      <c r="A16" s="6" t="s">
        <v>9</v>
      </c>
      <c r="B16" s="5"/>
      <c r="C16" s="5"/>
      <c r="D16" s="5"/>
      <c r="E16" s="5"/>
      <c r="F16" s="5"/>
      <c r="G16" s="5"/>
      <c r="S16" s="23" t="s">
        <v>131</v>
      </c>
      <c r="T16" s="23" t="s">
        <v>115</v>
      </c>
    </row>
    <row r="17" spans="1:20" x14ac:dyDescent="0.15">
      <c r="A17" s="6" t="s">
        <v>10</v>
      </c>
      <c r="B17" s="5"/>
      <c r="C17" s="5"/>
      <c r="D17" s="5"/>
      <c r="E17" s="5"/>
      <c r="F17" s="5"/>
      <c r="G17" s="5"/>
      <c r="S17" s="23" t="s">
        <v>132</v>
      </c>
      <c r="T17" s="23" t="s">
        <v>221</v>
      </c>
    </row>
    <row r="21" spans="1:20" x14ac:dyDescent="0.15">
      <c r="E21" s="116"/>
      <c r="F21" s="116"/>
      <c r="G21" s="116"/>
    </row>
    <row r="22" spans="1:20" x14ac:dyDescent="0.15">
      <c r="B22" s="1" t="s">
        <v>102</v>
      </c>
    </row>
    <row r="23" spans="1:20" x14ac:dyDescent="0.15">
      <c r="B23" s="66" t="s">
        <v>76</v>
      </c>
      <c r="C23" s="67"/>
      <c r="D23" s="115" t="s">
        <v>52</v>
      </c>
      <c r="E23" s="115"/>
      <c r="F23" s="115"/>
      <c r="G23" s="115" t="s">
        <v>53</v>
      </c>
      <c r="H23" s="115"/>
      <c r="I23" s="115" t="s">
        <v>54</v>
      </c>
      <c r="J23" s="115"/>
      <c r="K23" s="115" t="s">
        <v>55</v>
      </c>
      <c r="L23" s="115"/>
      <c r="M23" s="115" t="s">
        <v>56</v>
      </c>
      <c r="N23" s="115"/>
      <c r="O23" s="115" t="s">
        <v>57</v>
      </c>
      <c r="P23" s="115"/>
      <c r="Q23" s="59" t="s">
        <v>2</v>
      </c>
    </row>
    <row r="24" spans="1:20" x14ac:dyDescent="0.15">
      <c r="B24" s="68"/>
      <c r="C24" s="69"/>
      <c r="D24" s="112">
        <f>USLUGEUsporedbaKriteriji!AE19</f>
        <v>0.30845569349434304</v>
      </c>
      <c r="E24" s="113"/>
      <c r="F24" s="114"/>
      <c r="G24" s="112">
        <f>USLUGEUsporedbaKriteriji!AE20</f>
        <v>0.24935975864116053</v>
      </c>
      <c r="H24" s="114"/>
      <c r="I24" s="112">
        <f>USLUGEUsporedbaKriteriji!AE21</f>
        <v>0.22573048118417396</v>
      </c>
      <c r="J24" s="114"/>
      <c r="K24" s="112">
        <f>USLUGEUsporedbaKriteriji!AE22</f>
        <v>8.5897620179873832E-2</v>
      </c>
      <c r="L24" s="114"/>
      <c r="M24" s="112">
        <f>USLUGEUsporedbaKriteriji!AE23</f>
        <v>4.9115184039913051E-2</v>
      </c>
      <c r="N24" s="114"/>
      <c r="O24" s="112">
        <f>USLUGEUsporedbaKriteriji!AE24</f>
        <v>8.1441262460535555E-2</v>
      </c>
      <c r="P24" s="114"/>
      <c r="Q24" s="60"/>
    </row>
    <row r="25" spans="1:20" x14ac:dyDescent="0.15">
      <c r="B25" s="48" t="s">
        <v>77</v>
      </c>
      <c r="C25" s="50" t="s">
        <v>78</v>
      </c>
      <c r="D25" s="35" t="s">
        <v>79</v>
      </c>
      <c r="E25" s="35" t="s">
        <v>80</v>
      </c>
      <c r="F25" s="35" t="s">
        <v>81</v>
      </c>
      <c r="G25" s="35" t="s">
        <v>82</v>
      </c>
      <c r="H25" s="35" t="s">
        <v>83</v>
      </c>
      <c r="I25" s="35" t="s">
        <v>84</v>
      </c>
      <c r="J25" s="35" t="s">
        <v>85</v>
      </c>
      <c r="K25" s="35" t="s">
        <v>86</v>
      </c>
      <c r="L25" s="35" t="s">
        <v>87</v>
      </c>
      <c r="M25" s="35" t="s">
        <v>88</v>
      </c>
      <c r="N25" s="35" t="s">
        <v>89</v>
      </c>
      <c r="O25" s="35" t="s">
        <v>90</v>
      </c>
      <c r="P25" s="35" t="s">
        <v>91</v>
      </c>
      <c r="Q25" s="60"/>
    </row>
    <row r="26" spans="1:20" x14ac:dyDescent="0.15">
      <c r="B26" s="49"/>
      <c r="C26" s="51"/>
      <c r="D26" s="36">
        <f>PKFinancijske_Isplativosti!T15</f>
        <v>0.13761856041853018</v>
      </c>
      <c r="E26" s="36">
        <f>PKFinancijske_Isplativosti!T16</f>
        <v>0.25075297387297762</v>
      </c>
      <c r="F26" s="36">
        <f>PKFinancijske_Isplativosti!T17</f>
        <v>0.61162846570849216</v>
      </c>
      <c r="G26" s="36">
        <f>PKReputacijeIInovativnosti!P11</f>
        <v>0.35497237943749815</v>
      </c>
      <c r="H26" s="36">
        <f>PKReputacijeIInovativnosti!P12</f>
        <v>0.64502762056250185</v>
      </c>
      <c r="I26" s="36">
        <f>PKZadovoljstvaKupca!P11</f>
        <v>0.28849937007768311</v>
      </c>
      <c r="J26" s="36">
        <f>PKZadovoljstvaKupca!P12</f>
        <v>0.71150062992231689</v>
      </c>
      <c r="K26" s="36">
        <f>PKUbrzanjaProcesa!P11</f>
        <v>0.5</v>
      </c>
      <c r="L26" s="36">
        <f>PKUbrzanjaProcesa!P12</f>
        <v>0.5</v>
      </c>
      <c r="M26" s="36">
        <f>PKLjudskihresursa!P11</f>
        <v>0.5</v>
      </c>
      <c r="N26" s="36">
        <f>PKLjudskihresursa!P12</f>
        <v>0.5</v>
      </c>
      <c r="O26" s="36">
        <f>PKTehIzvedivostiIOdrživosti!P11</f>
        <v>0.30400417717777917</v>
      </c>
      <c r="P26" s="36">
        <f>PKTehIzvedivostiIOdrživosti!P12</f>
        <v>0.69599582282222083</v>
      </c>
      <c r="Q26" s="60"/>
    </row>
    <row r="27" spans="1:20" x14ac:dyDescent="0.15">
      <c r="B27" s="57" t="s">
        <v>92</v>
      </c>
      <c r="C27" s="58"/>
      <c r="D27" s="37">
        <f>TrošakImplementacije!T15</f>
        <v>8.3025647598063954E-2</v>
      </c>
      <c r="E27" s="37">
        <f>TrošakOdržavanja!T15</f>
        <v>0.12610341379772336</v>
      </c>
      <c r="F27" s="37">
        <f>'PovratInvesticije(ROI)'!T15</f>
        <v>0.19740468098012701</v>
      </c>
      <c r="G27" s="37">
        <f>KonkurentskaPrednost!T15</f>
        <v>0.13938923184691226</v>
      </c>
      <c r="H27" s="37">
        <f>PrepoznatljivostIInovativnost!T15</f>
        <v>0.5682343752986817</v>
      </c>
      <c r="I27" s="37">
        <f>DostupnostUsluge!T15</f>
        <v>8.7608755972138519E-2</v>
      </c>
      <c r="J27" s="37">
        <f>UčinkovitostRješavanjaProblema!T15</f>
        <v>9.3615492913303219E-2</v>
      </c>
      <c r="K27" s="37">
        <f>VrijemePotrebnoZaPružanjeUsluge!T15</f>
        <v>0.63673288238341963</v>
      </c>
      <c r="L27" s="37">
        <f>AutoObavljanjeRutinskihKoraka!T15</f>
        <v>0.58291846634374522</v>
      </c>
      <c r="M27" s="37">
        <f>AutomatskaPodrška!T15</f>
        <v>0.32825987716230431</v>
      </c>
      <c r="N27" s="37">
        <f>BrojPotrebnihLjudiUSLUGE!T15</f>
        <v>0.44588966508077682</v>
      </c>
      <c r="O27" s="37">
        <f>ZahtjevnostImplementacije!T15</f>
        <v>0.10541847202914011</v>
      </c>
      <c r="P27" s="37">
        <f>IntegracijaSPostojećimSustavima!T15</f>
        <v>0.13565793228873774</v>
      </c>
      <c r="Q27" s="37">
        <f>D24*D26*D27+D24*E26*E27+D24*F26*F27+G24*G26*G27+G24*H26*H27+I24*I26*I27+I24*J26*J27+K24*K26*K27+K24*L26*L27+M24*M26*M27+M24*N26*N27+O24*O26*O27+O24*P26*P27</f>
        <v>0.25668960520624851</v>
      </c>
      <c r="R27" s="21" t="s">
        <v>112</v>
      </c>
    </row>
    <row r="28" spans="1:20" x14ac:dyDescent="0.15">
      <c r="B28" s="57" t="s">
        <v>93</v>
      </c>
      <c r="C28" s="58"/>
      <c r="D28" s="37">
        <f>TrošakImplementacije!T16</f>
        <v>0.26067021606223184</v>
      </c>
      <c r="E28" s="37">
        <f>TrošakOdržavanja!T16</f>
        <v>0.24654420601950452</v>
      </c>
      <c r="F28" s="37">
        <f>'PovratInvesticije(ROI)'!T16</f>
        <v>0.14613586810987678</v>
      </c>
      <c r="G28" s="37">
        <f>KonkurentskaPrednost!T16</f>
        <v>0.26914596104931515</v>
      </c>
      <c r="H28" s="37">
        <f>PrepoznatljivostIInovativnost!T16</f>
        <v>0.11898520475303685</v>
      </c>
      <c r="I28" s="37">
        <f>DostupnostUsluge!T16</f>
        <v>0.27131109786484453</v>
      </c>
      <c r="J28" s="37">
        <f>UčinkovitostRješavanjaProblema!T16</f>
        <v>0.24822570803173158</v>
      </c>
      <c r="K28" s="37">
        <f>VrijemePotrebnoZaPružanjeUsluge!T16</f>
        <v>0.15288425652706053</v>
      </c>
      <c r="L28" s="37">
        <f>AutoObavljanjeRutinskihKoraka!T16</f>
        <v>0.28142360136751704</v>
      </c>
      <c r="M28" s="37">
        <f>AutomatskaPodrška!T16</f>
        <v>0.57621861114670425</v>
      </c>
      <c r="N28" s="37">
        <f>BrojPotrebnihLjudiUSLUGE!T16</f>
        <v>0.3654276989465855</v>
      </c>
      <c r="O28" s="37">
        <f>ZahtjevnostImplementacije!T16</f>
        <v>0.30078547362212316</v>
      </c>
      <c r="P28" s="37">
        <f>IntegracijaSPostojećimSustavima!T16</f>
        <v>0.58291846634374522</v>
      </c>
      <c r="Q28" s="37">
        <f>D24*D26*D28+D24*E26*E28+D24*F26*F28+G24*G26*G28+G24*H26*H28+I24*I26*I28+I24*J26*J28+K24*K26*K28+K24*L26*L28+M24*M26*M28+M24*N26*N28+O24*O26*O28+O24*P26*P28</f>
        <v>0.24046776527043101</v>
      </c>
      <c r="R28" s="21" t="s">
        <v>113</v>
      </c>
    </row>
    <row r="29" spans="1:20" x14ac:dyDescent="0.15">
      <c r="B29" s="57" t="s">
        <v>94</v>
      </c>
      <c r="C29" s="58"/>
      <c r="D29" s="37">
        <f>TrošakImplementacije!T17</f>
        <v>0.6563041363397043</v>
      </c>
      <c r="E29" s="37">
        <f>TrošakOdržavanja!T17</f>
        <v>0.62735238018277206</v>
      </c>
      <c r="F29" s="37">
        <f>'PovratInvesticije(ROI)'!T17</f>
        <v>0.65645945090999624</v>
      </c>
      <c r="G29" s="37">
        <f>KonkurentskaPrednost!T17</f>
        <v>0.59146480710377247</v>
      </c>
      <c r="H29" s="37">
        <f>PrepoznatljivostIInovativnost!T17</f>
        <v>0.31278041994828149</v>
      </c>
      <c r="I29" s="37">
        <f>DostupnostUsluge!T17</f>
        <v>0.6410801461630169</v>
      </c>
      <c r="J29" s="37">
        <f>UčinkovitostRješavanjaProblema!T17</f>
        <v>0.6581587990549651</v>
      </c>
      <c r="K29" s="37">
        <f>VrijemePotrebnoZaPružanjeUsluge!T17</f>
        <v>0.21038286108951984</v>
      </c>
      <c r="L29" s="37">
        <f>AutoObavljanjeRutinskihKoraka!T17</f>
        <v>0.13565793228873771</v>
      </c>
      <c r="M29" s="37">
        <f>AutomatskaPodrška!T17</f>
        <v>9.5521511690991504E-2</v>
      </c>
      <c r="N29" s="37">
        <f>BrojPotrebnihLjudiUSLUGE!T17</f>
        <v>0.18868263597263768</v>
      </c>
      <c r="O29" s="37">
        <f>ZahtjevnostImplementacije!T17</f>
        <v>0.59379605434873683</v>
      </c>
      <c r="P29" s="37">
        <f>IntegracijaSPostojećimSustavima!T17</f>
        <v>0.2814236013675171</v>
      </c>
      <c r="Q29" s="37">
        <f>D24*D26*D29+D24*E26*E29+D24*F26*F29+G24*G26*G29+G24*H26*H29+I24*I26*I29+I24*J26*J29+K24*K26*K29+K24*L26*L29+M24*M26*M29+M24*N26*N29+O24*O26*O29+O24*P26*P29</f>
        <v>0.50284262952332048</v>
      </c>
      <c r="R29" s="21" t="s">
        <v>111</v>
      </c>
    </row>
    <row r="30" spans="1:20" x14ac:dyDescent="0.1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</row>
    <row r="31" spans="1:20" x14ac:dyDescent="0.15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</row>
    <row r="32" spans="1:20" x14ac:dyDescent="0.15">
      <c r="B32" s="39" t="s">
        <v>110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</row>
    <row r="33" spans="2:22" x14ac:dyDescent="0.15">
      <c r="B33" s="66" t="s">
        <v>76</v>
      </c>
      <c r="C33" s="67"/>
      <c r="D33" s="115" t="s">
        <v>52</v>
      </c>
      <c r="E33" s="115"/>
      <c r="F33" s="115"/>
      <c r="G33" s="115" t="s">
        <v>53</v>
      </c>
      <c r="H33" s="115"/>
      <c r="I33" s="115" t="s">
        <v>54</v>
      </c>
      <c r="J33" s="115"/>
      <c r="K33" s="115" t="s">
        <v>55</v>
      </c>
      <c r="L33" s="115"/>
      <c r="M33" s="115" t="s">
        <v>56</v>
      </c>
      <c r="N33" s="115"/>
      <c r="O33" s="115" t="s">
        <v>57</v>
      </c>
      <c r="P33" s="115"/>
      <c r="Q33" s="59" t="s">
        <v>2</v>
      </c>
    </row>
    <row r="34" spans="2:22" x14ac:dyDescent="0.15">
      <c r="B34" s="68"/>
      <c r="C34" s="69"/>
      <c r="D34" s="112">
        <f>D24-0.05</f>
        <v>0.25845569349434305</v>
      </c>
      <c r="E34" s="113"/>
      <c r="F34" s="114"/>
      <c r="G34" s="112">
        <f>G24+G24/(G24+I24+K24+M24+O24)*0.05</f>
        <v>0.26738895476752045</v>
      </c>
      <c r="H34" s="114"/>
      <c r="I34" s="112">
        <f>I24+I24/(G24+I24+K24+M24+O24)*0.05</f>
        <v>0.24205123453725846</v>
      </c>
      <c r="J34" s="114"/>
      <c r="K34" s="112">
        <f>K24+K24/(G24+I24+K24+M24+O24)*0.05</f>
        <v>9.2108185386744729E-2</v>
      </c>
      <c r="L34" s="114"/>
      <c r="M34" s="112">
        <f>M24+M24/(G24+I24+K24+M24+O24)*0.05</f>
        <v>5.2666307487670865E-2</v>
      </c>
      <c r="N34" s="114"/>
      <c r="O34" s="112">
        <f>O24+O24/(G24+I24+K24+M24+O24)*0.05</f>
        <v>8.7329624326462463E-2</v>
      </c>
      <c r="P34" s="114"/>
      <c r="Q34" s="60"/>
    </row>
    <row r="35" spans="2:22" x14ac:dyDescent="0.15">
      <c r="B35" s="48" t="s">
        <v>77</v>
      </c>
      <c r="C35" s="50" t="s">
        <v>78</v>
      </c>
      <c r="D35" s="35" t="s">
        <v>79</v>
      </c>
      <c r="E35" s="35" t="s">
        <v>80</v>
      </c>
      <c r="F35" s="35" t="s">
        <v>81</v>
      </c>
      <c r="G35" s="35" t="s">
        <v>82</v>
      </c>
      <c r="H35" s="35" t="s">
        <v>83</v>
      </c>
      <c r="I35" s="35" t="s">
        <v>84</v>
      </c>
      <c r="J35" s="35" t="s">
        <v>85</v>
      </c>
      <c r="K35" s="35" t="s">
        <v>86</v>
      </c>
      <c r="L35" s="35" t="s">
        <v>87</v>
      </c>
      <c r="M35" s="35" t="s">
        <v>88</v>
      </c>
      <c r="N35" s="35" t="s">
        <v>89</v>
      </c>
      <c r="O35" s="35" t="s">
        <v>90</v>
      </c>
      <c r="P35" s="35" t="s">
        <v>91</v>
      </c>
      <c r="Q35" s="60"/>
    </row>
    <row r="36" spans="2:22" x14ac:dyDescent="0.15">
      <c r="B36" s="49"/>
      <c r="C36" s="51"/>
      <c r="D36" s="36">
        <f>D26</f>
        <v>0.13761856041853018</v>
      </c>
      <c r="E36" s="36">
        <f t="shared" ref="E36:P36" si="0">E26</f>
        <v>0.25075297387297762</v>
      </c>
      <c r="F36" s="36">
        <f t="shared" si="0"/>
        <v>0.61162846570849216</v>
      </c>
      <c r="G36" s="36">
        <f t="shared" si="0"/>
        <v>0.35497237943749815</v>
      </c>
      <c r="H36" s="36">
        <f t="shared" si="0"/>
        <v>0.64502762056250185</v>
      </c>
      <c r="I36" s="36">
        <f t="shared" si="0"/>
        <v>0.28849937007768311</v>
      </c>
      <c r="J36" s="36">
        <f t="shared" si="0"/>
        <v>0.71150062992231689</v>
      </c>
      <c r="K36" s="36">
        <f t="shared" si="0"/>
        <v>0.5</v>
      </c>
      <c r="L36" s="36">
        <f t="shared" si="0"/>
        <v>0.5</v>
      </c>
      <c r="M36" s="36">
        <f t="shared" si="0"/>
        <v>0.5</v>
      </c>
      <c r="N36" s="36">
        <f t="shared" si="0"/>
        <v>0.5</v>
      </c>
      <c r="O36" s="36">
        <f t="shared" si="0"/>
        <v>0.30400417717777917</v>
      </c>
      <c r="P36" s="36">
        <f t="shared" si="0"/>
        <v>0.69599582282222083</v>
      </c>
      <c r="Q36" s="60"/>
    </row>
    <row r="37" spans="2:22" x14ac:dyDescent="0.15">
      <c r="B37" s="57" t="s">
        <v>92</v>
      </c>
      <c r="C37" s="58"/>
      <c r="D37" s="37">
        <f t="shared" ref="D37:P37" si="1">D27</f>
        <v>8.3025647598063954E-2</v>
      </c>
      <c r="E37" s="37">
        <f t="shared" si="1"/>
        <v>0.12610341379772336</v>
      </c>
      <c r="F37" s="37">
        <f t="shared" si="1"/>
        <v>0.19740468098012701</v>
      </c>
      <c r="G37" s="37">
        <f t="shared" si="1"/>
        <v>0.13938923184691226</v>
      </c>
      <c r="H37" s="37">
        <f t="shared" si="1"/>
        <v>0.5682343752986817</v>
      </c>
      <c r="I37" s="37">
        <f t="shared" si="1"/>
        <v>8.7608755972138519E-2</v>
      </c>
      <c r="J37" s="37">
        <f t="shared" si="1"/>
        <v>9.3615492913303219E-2</v>
      </c>
      <c r="K37" s="37">
        <f t="shared" si="1"/>
        <v>0.63673288238341963</v>
      </c>
      <c r="L37" s="37">
        <f t="shared" si="1"/>
        <v>0.58291846634374522</v>
      </c>
      <c r="M37" s="37">
        <f t="shared" si="1"/>
        <v>0.32825987716230431</v>
      </c>
      <c r="N37" s="37">
        <f t="shared" si="1"/>
        <v>0.44588966508077682</v>
      </c>
      <c r="O37" s="37">
        <f t="shared" si="1"/>
        <v>0.10541847202914011</v>
      </c>
      <c r="P37" s="37">
        <f t="shared" si="1"/>
        <v>0.13565793228873774</v>
      </c>
      <c r="Q37" s="37">
        <f>D$34*D$36*D37+D$34*E$36*E37+D$34*F$36*F37+G$34*G$36*G37+G$34*H$36*H37+I$34*I$36*I37+I$34*J$36*J37+K$34*K$36*K37+K$34*L$36*L37+M$34*M$36*M37+M$34*N$36*N37+O$34*O$36*O37+O$34*P$36*P37</f>
        <v>0.26340678919974903</v>
      </c>
      <c r="R37" s="21" t="s">
        <v>112</v>
      </c>
    </row>
    <row r="38" spans="2:22" x14ac:dyDescent="0.15">
      <c r="B38" s="57" t="s">
        <v>93</v>
      </c>
      <c r="C38" s="58"/>
      <c r="D38" s="37">
        <f t="shared" ref="D38:P38" si="2">D28</f>
        <v>0.26067021606223184</v>
      </c>
      <c r="E38" s="37">
        <f t="shared" si="2"/>
        <v>0.24654420601950452</v>
      </c>
      <c r="F38" s="37">
        <f t="shared" si="2"/>
        <v>0.14613586810987678</v>
      </c>
      <c r="G38" s="37">
        <f t="shared" si="2"/>
        <v>0.26914596104931515</v>
      </c>
      <c r="H38" s="37">
        <f t="shared" si="2"/>
        <v>0.11898520475303685</v>
      </c>
      <c r="I38" s="37">
        <f t="shared" si="2"/>
        <v>0.27131109786484453</v>
      </c>
      <c r="J38" s="37">
        <f t="shared" si="2"/>
        <v>0.24822570803173158</v>
      </c>
      <c r="K38" s="37">
        <f t="shared" si="2"/>
        <v>0.15288425652706053</v>
      </c>
      <c r="L38" s="37">
        <f t="shared" si="2"/>
        <v>0.28142360136751704</v>
      </c>
      <c r="M38" s="37">
        <f t="shared" si="2"/>
        <v>0.57621861114670425</v>
      </c>
      <c r="N38" s="37">
        <f t="shared" si="2"/>
        <v>0.3654276989465855</v>
      </c>
      <c r="O38" s="37">
        <f t="shared" si="2"/>
        <v>0.30078547362212316</v>
      </c>
      <c r="P38" s="37">
        <f t="shared" si="2"/>
        <v>0.58291846634374522</v>
      </c>
      <c r="Q38" s="37">
        <f t="shared" ref="Q38:Q39" si="3">D$34*D$36*D38+D$34*E$36*E38+D$34*F$36*F38+G$34*G$36*G38+G$34*H$36*H38+I$34*I$36*I38+I$34*J$36*J38+K$34*K$36*K38+K$34*L$36*L38+M$34*M$36*M38+M$34*N$36*N38+O$34*O$36*O38+O$34*P$36*P38</f>
        <v>0.24432812210094143</v>
      </c>
      <c r="R38" s="21" t="s">
        <v>113</v>
      </c>
    </row>
    <row r="39" spans="2:22" x14ac:dyDescent="0.15">
      <c r="B39" s="57" t="s">
        <v>94</v>
      </c>
      <c r="C39" s="58"/>
      <c r="D39" s="37">
        <f t="shared" ref="D39:P39" si="4">D29</f>
        <v>0.6563041363397043</v>
      </c>
      <c r="E39" s="37">
        <f t="shared" si="4"/>
        <v>0.62735238018277206</v>
      </c>
      <c r="F39" s="37">
        <f t="shared" si="4"/>
        <v>0.65645945090999624</v>
      </c>
      <c r="G39" s="37">
        <f t="shared" si="4"/>
        <v>0.59146480710377247</v>
      </c>
      <c r="H39" s="37">
        <f t="shared" si="4"/>
        <v>0.31278041994828149</v>
      </c>
      <c r="I39" s="37">
        <f t="shared" si="4"/>
        <v>0.6410801461630169</v>
      </c>
      <c r="J39" s="37">
        <f t="shared" si="4"/>
        <v>0.6581587990549651</v>
      </c>
      <c r="K39" s="37">
        <f t="shared" si="4"/>
        <v>0.21038286108951984</v>
      </c>
      <c r="L39" s="37">
        <f t="shared" si="4"/>
        <v>0.13565793228873771</v>
      </c>
      <c r="M39" s="37">
        <f t="shared" si="4"/>
        <v>9.5521511690991504E-2</v>
      </c>
      <c r="N39" s="37">
        <f t="shared" si="4"/>
        <v>0.18868263597263768</v>
      </c>
      <c r="O39" s="37">
        <f t="shared" si="4"/>
        <v>0.59379605434873683</v>
      </c>
      <c r="P39" s="37">
        <f t="shared" si="4"/>
        <v>0.2814236013675171</v>
      </c>
      <c r="Q39" s="37">
        <f t="shared" si="3"/>
        <v>0.49226508869930952</v>
      </c>
      <c r="R39" s="21" t="s">
        <v>111</v>
      </c>
    </row>
    <row r="40" spans="2:22" x14ac:dyDescent="0.15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2:22" x14ac:dyDescent="0.15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2:22" x14ac:dyDescent="0.15">
      <c r="B42" s="39" t="s">
        <v>116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V42" s="1" t="s">
        <v>133</v>
      </c>
    </row>
    <row r="43" spans="2:22" x14ac:dyDescent="0.15">
      <c r="B43" s="66" t="s">
        <v>76</v>
      </c>
      <c r="C43" s="67"/>
      <c r="D43" s="115" t="s">
        <v>52</v>
      </c>
      <c r="E43" s="115"/>
      <c r="F43" s="115"/>
      <c r="G43" s="115" t="s">
        <v>53</v>
      </c>
      <c r="H43" s="115"/>
      <c r="I43" s="115" t="s">
        <v>54</v>
      </c>
      <c r="J43" s="115"/>
      <c r="K43" s="115" t="s">
        <v>55</v>
      </c>
      <c r="L43" s="115"/>
      <c r="M43" s="115" t="s">
        <v>56</v>
      </c>
      <c r="N43" s="115"/>
      <c r="O43" s="115" t="s">
        <v>57</v>
      </c>
      <c r="P43" s="115"/>
      <c r="Q43" s="59" t="s">
        <v>2</v>
      </c>
    </row>
    <row r="44" spans="2:22" x14ac:dyDescent="0.15">
      <c r="B44" s="68"/>
      <c r="C44" s="69"/>
      <c r="D44" s="112">
        <f>D24+0.05</f>
        <v>0.35845569349434303</v>
      </c>
      <c r="E44" s="113"/>
      <c r="F44" s="114"/>
      <c r="G44" s="112">
        <f>G24-G24/(G24+I24+K24+M24+O24)*0.05</f>
        <v>0.23133056251480064</v>
      </c>
      <c r="H44" s="114"/>
      <c r="I44" s="112">
        <f>I24-I24/(G24+I24+K24+M24+O24)*0.05</f>
        <v>0.20940972783108946</v>
      </c>
      <c r="J44" s="114"/>
      <c r="K44" s="112">
        <f>K24-K24/(G24+I24+K24+M24+O24)*0.05</f>
        <v>7.9687054973002935E-2</v>
      </c>
      <c r="L44" s="114"/>
      <c r="M44" s="112">
        <f>M24-M24/(G24+I24+K24+M24+O24)*0.05</f>
        <v>4.5564060592155238E-2</v>
      </c>
      <c r="N44" s="114"/>
      <c r="O44" s="112">
        <f>O24-O24/(G24+I24+K24+M24+O24)*0.05</f>
        <v>7.5552900594608646E-2</v>
      </c>
      <c r="P44" s="114"/>
      <c r="Q44" s="60"/>
    </row>
    <row r="45" spans="2:22" x14ac:dyDescent="0.15">
      <c r="B45" s="48" t="s">
        <v>77</v>
      </c>
      <c r="C45" s="50" t="s">
        <v>78</v>
      </c>
      <c r="D45" s="35" t="s">
        <v>79</v>
      </c>
      <c r="E45" s="35" t="s">
        <v>80</v>
      </c>
      <c r="F45" s="35" t="s">
        <v>81</v>
      </c>
      <c r="G45" s="35" t="s">
        <v>82</v>
      </c>
      <c r="H45" s="35" t="s">
        <v>83</v>
      </c>
      <c r="I45" s="35" t="s">
        <v>84</v>
      </c>
      <c r="J45" s="35" t="s">
        <v>85</v>
      </c>
      <c r="K45" s="35" t="s">
        <v>86</v>
      </c>
      <c r="L45" s="35" t="s">
        <v>87</v>
      </c>
      <c r="M45" s="35" t="s">
        <v>88</v>
      </c>
      <c r="N45" s="35" t="s">
        <v>89</v>
      </c>
      <c r="O45" s="35" t="s">
        <v>90</v>
      </c>
      <c r="P45" s="35" t="s">
        <v>91</v>
      </c>
      <c r="Q45" s="60"/>
    </row>
    <row r="46" spans="2:22" x14ac:dyDescent="0.15">
      <c r="B46" s="49"/>
      <c r="C46" s="51"/>
      <c r="D46" s="36">
        <f>D36</f>
        <v>0.13761856041853018</v>
      </c>
      <c r="E46" s="36">
        <f t="shared" ref="E46:P46" si="5">E36</f>
        <v>0.25075297387297762</v>
      </c>
      <c r="F46" s="36">
        <f t="shared" si="5"/>
        <v>0.61162846570849216</v>
      </c>
      <c r="G46" s="36">
        <f t="shared" si="5"/>
        <v>0.35497237943749815</v>
      </c>
      <c r="H46" s="36">
        <f t="shared" si="5"/>
        <v>0.64502762056250185</v>
      </c>
      <c r="I46" s="36">
        <f t="shared" si="5"/>
        <v>0.28849937007768311</v>
      </c>
      <c r="J46" s="36">
        <f t="shared" si="5"/>
        <v>0.71150062992231689</v>
      </c>
      <c r="K46" s="36">
        <f t="shared" si="5"/>
        <v>0.5</v>
      </c>
      <c r="L46" s="36">
        <f t="shared" si="5"/>
        <v>0.5</v>
      </c>
      <c r="M46" s="36">
        <f t="shared" si="5"/>
        <v>0.5</v>
      </c>
      <c r="N46" s="36">
        <f t="shared" si="5"/>
        <v>0.5</v>
      </c>
      <c r="O46" s="36">
        <f t="shared" si="5"/>
        <v>0.30400417717777917</v>
      </c>
      <c r="P46" s="36">
        <f t="shared" si="5"/>
        <v>0.69599582282222083</v>
      </c>
      <c r="Q46" s="60"/>
    </row>
    <row r="47" spans="2:22" x14ac:dyDescent="0.15">
      <c r="B47" s="57" t="s">
        <v>92</v>
      </c>
      <c r="C47" s="58"/>
      <c r="D47" s="37">
        <f t="shared" ref="D47:P47" si="6">D37</f>
        <v>8.3025647598063954E-2</v>
      </c>
      <c r="E47" s="37">
        <f t="shared" si="6"/>
        <v>0.12610341379772336</v>
      </c>
      <c r="F47" s="37">
        <f t="shared" si="6"/>
        <v>0.19740468098012701</v>
      </c>
      <c r="G47" s="37">
        <f t="shared" si="6"/>
        <v>0.13938923184691226</v>
      </c>
      <c r="H47" s="37">
        <f t="shared" si="6"/>
        <v>0.5682343752986817</v>
      </c>
      <c r="I47" s="37">
        <f t="shared" si="6"/>
        <v>8.7608755972138519E-2</v>
      </c>
      <c r="J47" s="37">
        <f t="shared" si="6"/>
        <v>9.3615492913303219E-2</v>
      </c>
      <c r="K47" s="37">
        <f t="shared" si="6"/>
        <v>0.63673288238341963</v>
      </c>
      <c r="L47" s="37">
        <f t="shared" si="6"/>
        <v>0.58291846634374522</v>
      </c>
      <c r="M47" s="37">
        <f t="shared" si="6"/>
        <v>0.32825987716230431</v>
      </c>
      <c r="N47" s="37">
        <f t="shared" si="6"/>
        <v>0.44588966508077682</v>
      </c>
      <c r="O47" s="37">
        <f t="shared" si="6"/>
        <v>0.10541847202914011</v>
      </c>
      <c r="P47" s="37">
        <f t="shared" si="6"/>
        <v>0.13565793228873774</v>
      </c>
      <c r="Q47" s="37">
        <f>D$44*D$46*D47+D$44*E$46*E47+D$44*F$46*F47+G$44*G$46*G47+G$44*H$46*H47+I$44*I$46*I47+I$44*J$46*J47+K$44*K$46*K47+K$44*L$46*L47+M$44*M$46*M47+M$44*N$46*N47+O$44*O$46*O47+O$44*P$46*P47</f>
        <v>0.24997242121274807</v>
      </c>
      <c r="R47" s="21" t="s">
        <v>112</v>
      </c>
    </row>
    <row r="48" spans="2:22" x14ac:dyDescent="0.15">
      <c r="B48" s="57" t="s">
        <v>93</v>
      </c>
      <c r="C48" s="58"/>
      <c r="D48" s="37">
        <f t="shared" ref="D48:P48" si="7">D38</f>
        <v>0.26067021606223184</v>
      </c>
      <c r="E48" s="37">
        <f t="shared" si="7"/>
        <v>0.24654420601950452</v>
      </c>
      <c r="F48" s="37">
        <f t="shared" si="7"/>
        <v>0.14613586810987678</v>
      </c>
      <c r="G48" s="37">
        <f t="shared" si="7"/>
        <v>0.26914596104931515</v>
      </c>
      <c r="H48" s="37">
        <f t="shared" si="7"/>
        <v>0.11898520475303685</v>
      </c>
      <c r="I48" s="37">
        <f t="shared" si="7"/>
        <v>0.27131109786484453</v>
      </c>
      <c r="J48" s="37">
        <f t="shared" si="7"/>
        <v>0.24822570803173158</v>
      </c>
      <c r="K48" s="37">
        <f t="shared" si="7"/>
        <v>0.15288425652706053</v>
      </c>
      <c r="L48" s="37">
        <f t="shared" si="7"/>
        <v>0.28142360136751704</v>
      </c>
      <c r="M48" s="37">
        <f t="shared" si="7"/>
        <v>0.57621861114670425</v>
      </c>
      <c r="N48" s="37">
        <f t="shared" si="7"/>
        <v>0.3654276989465855</v>
      </c>
      <c r="O48" s="37">
        <f t="shared" si="7"/>
        <v>0.30078547362212316</v>
      </c>
      <c r="P48" s="37">
        <f t="shared" si="7"/>
        <v>0.58291846634374522</v>
      </c>
      <c r="Q48" s="37">
        <f t="shared" ref="Q48:Q49" si="8">D$44*D$46*D48+D$44*E$46*E48+D$44*F$46*F48+G$44*G$46*G48+G$44*H$46*H48+I$44*I$46*I48+I$44*J$46*J48+K$44*K$46*K48+K$44*L$46*L48+M$44*M$46*M48+M$44*N$46*N48+O$44*O$46*O48+O$44*P$46*P48</f>
        <v>0.23660740843992059</v>
      </c>
      <c r="R48" s="21" t="s">
        <v>113</v>
      </c>
    </row>
    <row r="49" spans="2:18" x14ac:dyDescent="0.15">
      <c r="B49" s="57" t="s">
        <v>94</v>
      </c>
      <c r="C49" s="58"/>
      <c r="D49" s="37">
        <f t="shared" ref="D49:P49" si="9">D39</f>
        <v>0.6563041363397043</v>
      </c>
      <c r="E49" s="37">
        <f t="shared" si="9"/>
        <v>0.62735238018277206</v>
      </c>
      <c r="F49" s="37">
        <f t="shared" si="9"/>
        <v>0.65645945090999624</v>
      </c>
      <c r="G49" s="37">
        <f t="shared" si="9"/>
        <v>0.59146480710377247</v>
      </c>
      <c r="H49" s="37">
        <f t="shared" si="9"/>
        <v>0.31278041994828149</v>
      </c>
      <c r="I49" s="37">
        <f t="shared" si="9"/>
        <v>0.6410801461630169</v>
      </c>
      <c r="J49" s="37">
        <f t="shared" si="9"/>
        <v>0.6581587990549651</v>
      </c>
      <c r="K49" s="37">
        <f t="shared" si="9"/>
        <v>0.21038286108951984</v>
      </c>
      <c r="L49" s="37">
        <f t="shared" si="9"/>
        <v>0.13565793228873771</v>
      </c>
      <c r="M49" s="37">
        <f t="shared" si="9"/>
        <v>9.5521511690991504E-2</v>
      </c>
      <c r="N49" s="37">
        <f t="shared" si="9"/>
        <v>0.18868263597263768</v>
      </c>
      <c r="O49" s="37">
        <f t="shared" si="9"/>
        <v>0.59379605434873683</v>
      </c>
      <c r="P49" s="37">
        <f t="shared" si="9"/>
        <v>0.2814236013675171</v>
      </c>
      <c r="Q49" s="37">
        <f t="shared" si="8"/>
        <v>0.51342017034733123</v>
      </c>
      <c r="R49" s="21" t="s">
        <v>111</v>
      </c>
    </row>
    <row r="50" spans="2:18" x14ac:dyDescent="0.15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</row>
    <row r="51" spans="2:18" x14ac:dyDescent="0.15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</row>
    <row r="52" spans="2:18" x14ac:dyDescent="0.15">
      <c r="B52" s="39" t="s">
        <v>117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</row>
    <row r="53" spans="2:18" x14ac:dyDescent="0.15">
      <c r="B53" s="66" t="s">
        <v>76</v>
      </c>
      <c r="C53" s="67"/>
      <c r="D53" s="115" t="s">
        <v>52</v>
      </c>
      <c r="E53" s="115"/>
      <c r="F53" s="115"/>
      <c r="G53" s="115" t="s">
        <v>53</v>
      </c>
      <c r="H53" s="115"/>
      <c r="I53" s="115" t="s">
        <v>54</v>
      </c>
      <c r="J53" s="115"/>
      <c r="K53" s="115" t="s">
        <v>55</v>
      </c>
      <c r="L53" s="115"/>
      <c r="M53" s="115" t="s">
        <v>56</v>
      </c>
      <c r="N53" s="115"/>
      <c r="O53" s="115" t="s">
        <v>57</v>
      </c>
      <c r="P53" s="115"/>
      <c r="Q53" s="59" t="s">
        <v>2</v>
      </c>
    </row>
    <row r="54" spans="2:18" x14ac:dyDescent="0.15">
      <c r="B54" s="68"/>
      <c r="C54" s="69"/>
      <c r="D54" s="112">
        <f>D24+D24/(D24+I24+K24+M24+O24)*0.05</f>
        <v>0.32900186704720003</v>
      </c>
      <c r="E54" s="113"/>
      <c r="F54" s="114"/>
      <c r="G54" s="112">
        <f>G24-0.05</f>
        <v>0.19935975864116051</v>
      </c>
      <c r="H54" s="114"/>
      <c r="I54" s="112">
        <f>I24+I24/(D24+I24+K24+M24+O24)*0.05</f>
        <v>0.24076634448771519</v>
      </c>
      <c r="J54" s="114"/>
      <c r="K54" s="112">
        <f>K24+K24/(D24+I24+K24+M24+O24)*0.05</f>
        <v>9.1619243898339711E-2</v>
      </c>
      <c r="L54" s="114"/>
      <c r="M54" s="112">
        <f>M24+M24/(D24+I24+K24+M24+O24)*0.05</f>
        <v>5.2386736864672538E-2</v>
      </c>
      <c r="N54" s="114"/>
      <c r="O54" s="112">
        <f>O24+O24/(D24+I24+K24+M24+O24)*0.05</f>
        <v>8.6866049060912012E-2</v>
      </c>
      <c r="P54" s="114"/>
      <c r="Q54" s="60"/>
    </row>
    <row r="55" spans="2:18" x14ac:dyDescent="0.15">
      <c r="B55" s="48" t="s">
        <v>77</v>
      </c>
      <c r="C55" s="50" t="s">
        <v>78</v>
      </c>
      <c r="D55" s="35" t="s">
        <v>79</v>
      </c>
      <c r="E55" s="35" t="s">
        <v>80</v>
      </c>
      <c r="F55" s="35" t="s">
        <v>81</v>
      </c>
      <c r="G55" s="35" t="s">
        <v>82</v>
      </c>
      <c r="H55" s="35" t="s">
        <v>83</v>
      </c>
      <c r="I55" s="35" t="s">
        <v>84</v>
      </c>
      <c r="J55" s="35" t="s">
        <v>85</v>
      </c>
      <c r="K55" s="35" t="s">
        <v>86</v>
      </c>
      <c r="L55" s="35" t="s">
        <v>87</v>
      </c>
      <c r="M55" s="35" t="s">
        <v>88</v>
      </c>
      <c r="N55" s="35" t="s">
        <v>89</v>
      </c>
      <c r="O55" s="35" t="s">
        <v>90</v>
      </c>
      <c r="P55" s="35" t="s">
        <v>91</v>
      </c>
      <c r="Q55" s="60"/>
    </row>
    <row r="56" spans="2:18" x14ac:dyDescent="0.15">
      <c r="B56" s="49"/>
      <c r="C56" s="51"/>
      <c r="D56" s="36">
        <f>D26</f>
        <v>0.13761856041853018</v>
      </c>
      <c r="E56" s="36">
        <f t="shared" ref="E56:P56" si="10">E26</f>
        <v>0.25075297387297762</v>
      </c>
      <c r="F56" s="36">
        <f t="shared" si="10"/>
        <v>0.61162846570849216</v>
      </c>
      <c r="G56" s="36">
        <f t="shared" si="10"/>
        <v>0.35497237943749815</v>
      </c>
      <c r="H56" s="36">
        <f t="shared" si="10"/>
        <v>0.64502762056250185</v>
      </c>
      <c r="I56" s="36">
        <f t="shared" si="10"/>
        <v>0.28849937007768311</v>
      </c>
      <c r="J56" s="36">
        <f t="shared" si="10"/>
        <v>0.71150062992231689</v>
      </c>
      <c r="K56" s="36">
        <f t="shared" si="10"/>
        <v>0.5</v>
      </c>
      <c r="L56" s="36">
        <f t="shared" si="10"/>
        <v>0.5</v>
      </c>
      <c r="M56" s="36">
        <f t="shared" si="10"/>
        <v>0.5</v>
      </c>
      <c r="N56" s="36">
        <f t="shared" si="10"/>
        <v>0.5</v>
      </c>
      <c r="O56" s="36">
        <f t="shared" si="10"/>
        <v>0.30400417717777917</v>
      </c>
      <c r="P56" s="36">
        <f t="shared" si="10"/>
        <v>0.69599582282222083</v>
      </c>
      <c r="Q56" s="60"/>
    </row>
    <row r="57" spans="2:18" x14ac:dyDescent="0.15">
      <c r="B57" s="57" t="s">
        <v>92</v>
      </c>
      <c r="C57" s="58"/>
      <c r="D57" s="37">
        <f t="shared" ref="D57:P57" si="11">D27</f>
        <v>8.3025647598063954E-2</v>
      </c>
      <c r="E57" s="37">
        <f t="shared" si="11"/>
        <v>0.12610341379772336</v>
      </c>
      <c r="F57" s="37">
        <f t="shared" si="11"/>
        <v>0.19740468098012701</v>
      </c>
      <c r="G57" s="37">
        <f t="shared" si="11"/>
        <v>0.13938923184691226</v>
      </c>
      <c r="H57" s="37">
        <f t="shared" si="11"/>
        <v>0.5682343752986817</v>
      </c>
      <c r="I57" s="37">
        <f t="shared" si="11"/>
        <v>8.7608755972138519E-2</v>
      </c>
      <c r="J57" s="37">
        <f t="shared" si="11"/>
        <v>9.3615492913303219E-2</v>
      </c>
      <c r="K57" s="37">
        <f t="shared" si="11"/>
        <v>0.63673288238341963</v>
      </c>
      <c r="L57" s="37">
        <f t="shared" si="11"/>
        <v>0.58291846634374522</v>
      </c>
      <c r="M57" s="37">
        <f t="shared" si="11"/>
        <v>0.32825987716230431</v>
      </c>
      <c r="N57" s="37">
        <f t="shared" si="11"/>
        <v>0.44588966508077682</v>
      </c>
      <c r="O57" s="37">
        <f t="shared" si="11"/>
        <v>0.10541847202914011</v>
      </c>
      <c r="P57" s="37">
        <f t="shared" si="11"/>
        <v>0.13565793228873774</v>
      </c>
      <c r="Q57" s="37">
        <f>D$54*D$56*D57+D$54*E$56*E57+D$54*F$56*F57+G$54*G$56*G57+G$54*H$56*H57+I$54*I$56*I57+I$54*J$56*J57+K$54*K$56*K57+K$54*L$56*L57+M$54*M$56*M57+M$54*N$56*N57+O$54*O$56*O57+O$54*P$56*P57</f>
        <v>0.24607755829395259</v>
      </c>
      <c r="R57" s="21" t="s">
        <v>112</v>
      </c>
    </row>
    <row r="58" spans="2:18" x14ac:dyDescent="0.15">
      <c r="B58" s="57" t="s">
        <v>93</v>
      </c>
      <c r="C58" s="58"/>
      <c r="D58" s="37">
        <f t="shared" ref="D58:P58" si="12">D28</f>
        <v>0.26067021606223184</v>
      </c>
      <c r="E58" s="37">
        <f t="shared" si="12"/>
        <v>0.24654420601950452</v>
      </c>
      <c r="F58" s="37">
        <f t="shared" si="12"/>
        <v>0.14613586810987678</v>
      </c>
      <c r="G58" s="37">
        <f t="shared" si="12"/>
        <v>0.26914596104931515</v>
      </c>
      <c r="H58" s="37">
        <f t="shared" si="12"/>
        <v>0.11898520475303685</v>
      </c>
      <c r="I58" s="37">
        <f t="shared" si="12"/>
        <v>0.27131109786484453</v>
      </c>
      <c r="J58" s="37">
        <f t="shared" si="12"/>
        <v>0.24822570803173158</v>
      </c>
      <c r="K58" s="37">
        <f t="shared" si="12"/>
        <v>0.15288425652706053</v>
      </c>
      <c r="L58" s="37">
        <f t="shared" si="12"/>
        <v>0.28142360136751704</v>
      </c>
      <c r="M58" s="37">
        <f t="shared" si="12"/>
        <v>0.57621861114670425</v>
      </c>
      <c r="N58" s="37">
        <f t="shared" si="12"/>
        <v>0.3654276989465855</v>
      </c>
      <c r="O58" s="37">
        <f t="shared" si="12"/>
        <v>0.30078547362212316</v>
      </c>
      <c r="P58" s="37">
        <f t="shared" si="12"/>
        <v>0.58291846634374522</v>
      </c>
      <c r="Q58" s="37">
        <f t="shared" ref="Q58:Q59" si="13">D$54*D$56*D58+D$54*E$56*E58+D$54*F$56*F58+G$54*G$56*G58+G$54*H$56*H58+I$54*I$56*I58+I$54*J$56*J58+K$54*K$56*K58+K$54*L$56*L58+M$54*M$56*M58+M$54*N$56*N58+O$54*O$56*O58+O$54*P$56*P58</f>
        <v>0.24500919775700733</v>
      </c>
      <c r="R58" s="21" t="s">
        <v>113</v>
      </c>
    </row>
    <row r="59" spans="2:18" x14ac:dyDescent="0.15">
      <c r="B59" s="57" t="s">
        <v>94</v>
      </c>
      <c r="C59" s="58"/>
      <c r="D59" s="37">
        <f t="shared" ref="D59:P59" si="14">D29</f>
        <v>0.6563041363397043</v>
      </c>
      <c r="E59" s="37">
        <f t="shared" si="14"/>
        <v>0.62735238018277206</v>
      </c>
      <c r="F59" s="37">
        <f t="shared" si="14"/>
        <v>0.65645945090999624</v>
      </c>
      <c r="G59" s="37">
        <f t="shared" si="14"/>
        <v>0.59146480710377247</v>
      </c>
      <c r="H59" s="37">
        <f t="shared" si="14"/>
        <v>0.31278041994828149</v>
      </c>
      <c r="I59" s="37">
        <f t="shared" si="14"/>
        <v>0.6410801461630169</v>
      </c>
      <c r="J59" s="37">
        <f t="shared" si="14"/>
        <v>0.6581587990549651</v>
      </c>
      <c r="K59" s="37">
        <f t="shared" si="14"/>
        <v>0.21038286108951984</v>
      </c>
      <c r="L59" s="37">
        <f t="shared" si="14"/>
        <v>0.13565793228873771</v>
      </c>
      <c r="M59" s="37">
        <f t="shared" si="14"/>
        <v>9.5521511690991504E-2</v>
      </c>
      <c r="N59" s="37">
        <f t="shared" si="14"/>
        <v>0.18868263597263768</v>
      </c>
      <c r="O59" s="37">
        <f t="shared" si="14"/>
        <v>0.59379605434873683</v>
      </c>
      <c r="P59" s="37">
        <f t="shared" si="14"/>
        <v>0.2814236013675171</v>
      </c>
      <c r="Q59" s="37">
        <f t="shared" si="13"/>
        <v>0.50891324394904003</v>
      </c>
      <c r="R59" s="21" t="s">
        <v>111</v>
      </c>
    </row>
    <row r="60" spans="2:18" x14ac:dyDescent="0.15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</row>
    <row r="61" spans="2:18" x14ac:dyDescent="0.15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</row>
    <row r="62" spans="2:18" x14ac:dyDescent="0.15">
      <c r="B62" s="39" t="s">
        <v>118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</row>
    <row r="63" spans="2:18" x14ac:dyDescent="0.15">
      <c r="B63" s="66" t="s">
        <v>76</v>
      </c>
      <c r="C63" s="67"/>
      <c r="D63" s="115" t="s">
        <v>52</v>
      </c>
      <c r="E63" s="115"/>
      <c r="F63" s="115"/>
      <c r="G63" s="115" t="s">
        <v>53</v>
      </c>
      <c r="H63" s="115"/>
      <c r="I63" s="115" t="s">
        <v>54</v>
      </c>
      <c r="J63" s="115"/>
      <c r="K63" s="115" t="s">
        <v>55</v>
      </c>
      <c r="L63" s="115"/>
      <c r="M63" s="115" t="s">
        <v>56</v>
      </c>
      <c r="N63" s="115"/>
      <c r="O63" s="115" t="s">
        <v>57</v>
      </c>
      <c r="P63" s="115"/>
      <c r="Q63" s="59" t="s">
        <v>2</v>
      </c>
    </row>
    <row r="64" spans="2:18" x14ac:dyDescent="0.15">
      <c r="B64" s="68"/>
      <c r="C64" s="69"/>
      <c r="D64" s="112">
        <f>D24-D24/(D24+I24+K24+M24+O24)*0.05</f>
        <v>0.28790951994148606</v>
      </c>
      <c r="E64" s="113"/>
      <c r="F64" s="114"/>
      <c r="G64" s="112">
        <f>G24+0.05</f>
        <v>0.29935975864116054</v>
      </c>
      <c r="H64" s="114"/>
      <c r="I64" s="112">
        <f>I24-I24/(D24+I24+K24+M24+O24)*0.05</f>
        <v>0.21069461788063273</v>
      </c>
      <c r="J64" s="114"/>
      <c r="K64" s="112">
        <f>K24-K24/(D24+I24+K24+M24+O24)*0.05</f>
        <v>8.0175996461407953E-2</v>
      </c>
      <c r="L64" s="114"/>
      <c r="M64" s="112">
        <f>M24-M24/(D24+I24+K24+M24+O24)*0.05</f>
        <v>4.5843631215153564E-2</v>
      </c>
      <c r="N64" s="114"/>
      <c r="O64" s="112">
        <f>O24-O24/(D24+I24+K24+M24+O24)*0.05</f>
        <v>7.6016475860159097E-2</v>
      </c>
      <c r="P64" s="114"/>
      <c r="Q64" s="60"/>
    </row>
    <row r="65" spans="2:18" x14ac:dyDescent="0.15">
      <c r="B65" s="48" t="s">
        <v>77</v>
      </c>
      <c r="C65" s="50" t="s">
        <v>78</v>
      </c>
      <c r="D65" s="35" t="s">
        <v>79</v>
      </c>
      <c r="E65" s="35" t="s">
        <v>80</v>
      </c>
      <c r="F65" s="35" t="s">
        <v>81</v>
      </c>
      <c r="G65" s="35" t="s">
        <v>82</v>
      </c>
      <c r="H65" s="35" t="s">
        <v>83</v>
      </c>
      <c r="I65" s="35" t="s">
        <v>84</v>
      </c>
      <c r="J65" s="35" t="s">
        <v>85</v>
      </c>
      <c r="K65" s="35" t="s">
        <v>86</v>
      </c>
      <c r="L65" s="35" t="s">
        <v>87</v>
      </c>
      <c r="M65" s="35" t="s">
        <v>88</v>
      </c>
      <c r="N65" s="35" t="s">
        <v>89</v>
      </c>
      <c r="O65" s="35" t="s">
        <v>90</v>
      </c>
      <c r="P65" s="35" t="s">
        <v>91</v>
      </c>
      <c r="Q65" s="60"/>
    </row>
    <row r="66" spans="2:18" x14ac:dyDescent="0.15">
      <c r="B66" s="49"/>
      <c r="C66" s="51"/>
      <c r="D66" s="36">
        <f>D26</f>
        <v>0.13761856041853018</v>
      </c>
      <c r="E66" s="36">
        <f t="shared" ref="E66:P66" si="15">E26</f>
        <v>0.25075297387297762</v>
      </c>
      <c r="F66" s="36">
        <f t="shared" si="15"/>
        <v>0.61162846570849216</v>
      </c>
      <c r="G66" s="36">
        <f t="shared" si="15"/>
        <v>0.35497237943749815</v>
      </c>
      <c r="H66" s="36">
        <f t="shared" si="15"/>
        <v>0.64502762056250185</v>
      </c>
      <c r="I66" s="36">
        <f t="shared" si="15"/>
        <v>0.28849937007768311</v>
      </c>
      <c r="J66" s="36">
        <f t="shared" si="15"/>
        <v>0.71150062992231689</v>
      </c>
      <c r="K66" s="36">
        <f t="shared" si="15"/>
        <v>0.5</v>
      </c>
      <c r="L66" s="36">
        <f t="shared" si="15"/>
        <v>0.5</v>
      </c>
      <c r="M66" s="36">
        <f t="shared" si="15"/>
        <v>0.5</v>
      </c>
      <c r="N66" s="36">
        <f t="shared" si="15"/>
        <v>0.5</v>
      </c>
      <c r="O66" s="36">
        <f t="shared" si="15"/>
        <v>0.30400417717777917</v>
      </c>
      <c r="P66" s="36">
        <f t="shared" si="15"/>
        <v>0.69599582282222083</v>
      </c>
      <c r="Q66" s="60"/>
    </row>
    <row r="67" spans="2:18" x14ac:dyDescent="0.15">
      <c r="B67" s="57" t="s">
        <v>92</v>
      </c>
      <c r="C67" s="58"/>
      <c r="D67" s="37">
        <f t="shared" ref="D67:P67" si="16">D27</f>
        <v>8.3025647598063954E-2</v>
      </c>
      <c r="E67" s="37">
        <f t="shared" si="16"/>
        <v>0.12610341379772336</v>
      </c>
      <c r="F67" s="37">
        <f t="shared" si="16"/>
        <v>0.19740468098012701</v>
      </c>
      <c r="G67" s="37">
        <f t="shared" si="16"/>
        <v>0.13938923184691226</v>
      </c>
      <c r="H67" s="37">
        <f t="shared" si="16"/>
        <v>0.5682343752986817</v>
      </c>
      <c r="I67" s="37">
        <f t="shared" si="16"/>
        <v>8.7608755972138519E-2</v>
      </c>
      <c r="J67" s="37">
        <f t="shared" si="16"/>
        <v>9.3615492913303219E-2</v>
      </c>
      <c r="K67" s="37">
        <f t="shared" si="16"/>
        <v>0.63673288238341963</v>
      </c>
      <c r="L67" s="37">
        <f t="shared" si="16"/>
        <v>0.58291846634374522</v>
      </c>
      <c r="M67" s="37">
        <f t="shared" si="16"/>
        <v>0.32825987716230431</v>
      </c>
      <c r="N67" s="37">
        <f t="shared" si="16"/>
        <v>0.44588966508077682</v>
      </c>
      <c r="O67" s="37">
        <f t="shared" si="16"/>
        <v>0.10541847202914011</v>
      </c>
      <c r="P67" s="37">
        <f t="shared" si="16"/>
        <v>0.13565793228873774</v>
      </c>
      <c r="Q67" s="37">
        <f>D$64*D$66*D67+D$64*E$66*E67+D$64*F$66*F67+G$64*G$66*G67+G$64*H$66*H67+I$64*I$66*I67+I$64*J$66*J67+K$64*K$66*K67+K$64*L$66*L67+M$64*M$66*M67+M$64*N$66*N67+O$64*O$66*O67+O$64*P$66*P67</f>
        <v>0.26730165211854445</v>
      </c>
      <c r="R67" s="21" t="s">
        <v>112</v>
      </c>
    </row>
    <row r="68" spans="2:18" x14ac:dyDescent="0.15">
      <c r="B68" s="57" t="s">
        <v>93</v>
      </c>
      <c r="C68" s="58"/>
      <c r="D68" s="37">
        <f t="shared" ref="D68:P68" si="17">D28</f>
        <v>0.26067021606223184</v>
      </c>
      <c r="E68" s="37">
        <f t="shared" si="17"/>
        <v>0.24654420601950452</v>
      </c>
      <c r="F68" s="37">
        <f t="shared" si="17"/>
        <v>0.14613586810987678</v>
      </c>
      <c r="G68" s="37">
        <f t="shared" si="17"/>
        <v>0.26914596104931515</v>
      </c>
      <c r="H68" s="37">
        <f t="shared" si="17"/>
        <v>0.11898520475303685</v>
      </c>
      <c r="I68" s="37">
        <f t="shared" si="17"/>
        <v>0.27131109786484453</v>
      </c>
      <c r="J68" s="37">
        <f t="shared" si="17"/>
        <v>0.24822570803173158</v>
      </c>
      <c r="K68" s="37">
        <f t="shared" si="17"/>
        <v>0.15288425652706053</v>
      </c>
      <c r="L68" s="37">
        <f t="shared" si="17"/>
        <v>0.28142360136751704</v>
      </c>
      <c r="M68" s="37">
        <f t="shared" si="17"/>
        <v>0.57621861114670425</v>
      </c>
      <c r="N68" s="37">
        <f t="shared" si="17"/>
        <v>0.3654276989465855</v>
      </c>
      <c r="O68" s="37">
        <f t="shared" si="17"/>
        <v>0.30078547362212316</v>
      </c>
      <c r="P68" s="37">
        <f t="shared" si="17"/>
        <v>0.58291846634374522</v>
      </c>
      <c r="Q68" s="37">
        <f t="shared" ref="Q68:Q69" si="18">D$64*D$66*D68+D$64*E$66*E68+D$64*F$66*F68+G$64*G$66*G68+G$64*H$66*H68+I$64*I$66*I68+I$64*J$66*J68+K$64*K$66*K68+K$64*L$66*L68+M$64*M$66*M68+M$64*N$66*N68+O$64*O$66*O68+O$64*P$66*P68</f>
        <v>0.23592633278385472</v>
      </c>
      <c r="R68" s="21" t="s">
        <v>113</v>
      </c>
    </row>
    <row r="69" spans="2:18" x14ac:dyDescent="0.15">
      <c r="B69" s="57" t="s">
        <v>94</v>
      </c>
      <c r="C69" s="58"/>
      <c r="D69" s="37">
        <f t="shared" ref="D69:P69" si="19">D29</f>
        <v>0.6563041363397043</v>
      </c>
      <c r="E69" s="37">
        <f t="shared" si="19"/>
        <v>0.62735238018277206</v>
      </c>
      <c r="F69" s="37">
        <f t="shared" si="19"/>
        <v>0.65645945090999624</v>
      </c>
      <c r="G69" s="37">
        <f t="shared" si="19"/>
        <v>0.59146480710377247</v>
      </c>
      <c r="H69" s="37">
        <f t="shared" si="19"/>
        <v>0.31278041994828149</v>
      </c>
      <c r="I69" s="37">
        <f t="shared" si="19"/>
        <v>0.6410801461630169</v>
      </c>
      <c r="J69" s="37">
        <f t="shared" si="19"/>
        <v>0.6581587990549651</v>
      </c>
      <c r="K69" s="37">
        <f t="shared" si="19"/>
        <v>0.21038286108951984</v>
      </c>
      <c r="L69" s="37">
        <f t="shared" si="19"/>
        <v>0.13565793228873771</v>
      </c>
      <c r="M69" s="37">
        <f t="shared" si="19"/>
        <v>9.5521511690991504E-2</v>
      </c>
      <c r="N69" s="37">
        <f t="shared" si="19"/>
        <v>0.18868263597263768</v>
      </c>
      <c r="O69" s="37">
        <f t="shared" si="19"/>
        <v>0.59379605434873683</v>
      </c>
      <c r="P69" s="37">
        <f t="shared" si="19"/>
        <v>0.2814236013675171</v>
      </c>
      <c r="Q69" s="37">
        <f t="shared" si="18"/>
        <v>0.49677201509760077</v>
      </c>
      <c r="R69" s="21" t="s">
        <v>111</v>
      </c>
    </row>
    <row r="70" spans="2:18" x14ac:dyDescent="0.15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</row>
    <row r="71" spans="2:18" x14ac:dyDescent="0.15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</row>
    <row r="72" spans="2:18" x14ac:dyDescent="0.15">
      <c r="B72" s="39" t="s">
        <v>119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</row>
    <row r="73" spans="2:18" x14ac:dyDescent="0.15">
      <c r="B73" s="66" t="s">
        <v>76</v>
      </c>
      <c r="C73" s="67"/>
      <c r="D73" s="115" t="s">
        <v>52</v>
      </c>
      <c r="E73" s="115"/>
      <c r="F73" s="115"/>
      <c r="G73" s="115" t="s">
        <v>53</v>
      </c>
      <c r="H73" s="115"/>
      <c r="I73" s="115" t="s">
        <v>54</v>
      </c>
      <c r="J73" s="115"/>
      <c r="K73" s="115" t="s">
        <v>55</v>
      </c>
      <c r="L73" s="115"/>
      <c r="M73" s="115" t="s">
        <v>56</v>
      </c>
      <c r="N73" s="115"/>
      <c r="O73" s="115" t="s">
        <v>57</v>
      </c>
      <c r="P73" s="115"/>
      <c r="Q73" s="59" t="s">
        <v>2</v>
      </c>
    </row>
    <row r="74" spans="2:18" x14ac:dyDescent="0.15">
      <c r="B74" s="68"/>
      <c r="C74" s="69"/>
      <c r="D74" s="112">
        <f>D24+D24/(D24+G24+K24+M24+O24)*0.05</f>
        <v>0.32837483573089254</v>
      </c>
      <c r="E74" s="113"/>
      <c r="F74" s="114"/>
      <c r="G74" s="112">
        <f>G24+G24/(D24+G24+K24+M24+O24)*0.05</f>
        <v>0.26546266290003756</v>
      </c>
      <c r="H74" s="114"/>
      <c r="I74" s="112">
        <f>I24-0.05</f>
        <v>0.17573048118417395</v>
      </c>
      <c r="J74" s="114"/>
      <c r="K74" s="112">
        <f>K24+K24/(D24+G24+K24+M24+O24)*0.05</f>
        <v>9.1444630496852752E-2</v>
      </c>
      <c r="L74" s="114"/>
      <c r="M74" s="112">
        <f>M24+M24/(D24+G24+K24+M24+O24)*0.05</f>
        <v>5.2286895107335044E-2</v>
      </c>
      <c r="N74" s="114"/>
      <c r="O74" s="112">
        <f>O24+O24/(D24+G24+K24+M24+O24)*0.05</f>
        <v>8.6700494580708165E-2</v>
      </c>
      <c r="P74" s="114"/>
      <c r="Q74" s="60"/>
    </row>
    <row r="75" spans="2:18" x14ac:dyDescent="0.15">
      <c r="B75" s="48" t="s">
        <v>77</v>
      </c>
      <c r="C75" s="50" t="s">
        <v>78</v>
      </c>
      <c r="D75" s="35" t="s">
        <v>79</v>
      </c>
      <c r="E75" s="35" t="s">
        <v>80</v>
      </c>
      <c r="F75" s="35" t="s">
        <v>81</v>
      </c>
      <c r="G75" s="35" t="s">
        <v>82</v>
      </c>
      <c r="H75" s="35" t="s">
        <v>83</v>
      </c>
      <c r="I75" s="35" t="s">
        <v>84</v>
      </c>
      <c r="J75" s="35" t="s">
        <v>85</v>
      </c>
      <c r="K75" s="35" t="s">
        <v>86</v>
      </c>
      <c r="L75" s="35" t="s">
        <v>87</v>
      </c>
      <c r="M75" s="35" t="s">
        <v>88</v>
      </c>
      <c r="N75" s="35" t="s">
        <v>89</v>
      </c>
      <c r="O75" s="35" t="s">
        <v>90</v>
      </c>
      <c r="P75" s="35" t="s">
        <v>91</v>
      </c>
      <c r="Q75" s="60"/>
    </row>
    <row r="76" spans="2:18" x14ac:dyDescent="0.15">
      <c r="B76" s="49"/>
      <c r="C76" s="51"/>
      <c r="D76" s="36">
        <f>D26</f>
        <v>0.13761856041853018</v>
      </c>
      <c r="E76" s="36">
        <f t="shared" ref="E76:P76" si="20">E26</f>
        <v>0.25075297387297762</v>
      </c>
      <c r="F76" s="36">
        <f t="shared" si="20"/>
        <v>0.61162846570849216</v>
      </c>
      <c r="G76" s="36">
        <f t="shared" si="20"/>
        <v>0.35497237943749815</v>
      </c>
      <c r="H76" s="36">
        <f t="shared" si="20"/>
        <v>0.64502762056250185</v>
      </c>
      <c r="I76" s="36">
        <f t="shared" si="20"/>
        <v>0.28849937007768311</v>
      </c>
      <c r="J76" s="36">
        <f t="shared" si="20"/>
        <v>0.71150062992231689</v>
      </c>
      <c r="K76" s="36">
        <f t="shared" si="20"/>
        <v>0.5</v>
      </c>
      <c r="L76" s="36">
        <f t="shared" si="20"/>
        <v>0.5</v>
      </c>
      <c r="M76" s="36">
        <f t="shared" si="20"/>
        <v>0.5</v>
      </c>
      <c r="N76" s="36">
        <f t="shared" si="20"/>
        <v>0.5</v>
      </c>
      <c r="O76" s="36">
        <f t="shared" si="20"/>
        <v>0.30400417717777917</v>
      </c>
      <c r="P76" s="36">
        <f t="shared" si="20"/>
        <v>0.69599582282222083</v>
      </c>
      <c r="Q76" s="60"/>
    </row>
    <row r="77" spans="2:18" x14ac:dyDescent="0.15">
      <c r="B77" s="57" t="s">
        <v>92</v>
      </c>
      <c r="C77" s="58"/>
      <c r="D77" s="37">
        <f t="shared" ref="D77:P77" si="21">D27</f>
        <v>8.3025647598063954E-2</v>
      </c>
      <c r="E77" s="37">
        <f t="shared" si="21"/>
        <v>0.12610341379772336</v>
      </c>
      <c r="F77" s="37">
        <f t="shared" si="21"/>
        <v>0.19740468098012701</v>
      </c>
      <c r="G77" s="37">
        <f t="shared" si="21"/>
        <v>0.13938923184691226</v>
      </c>
      <c r="H77" s="37">
        <f t="shared" si="21"/>
        <v>0.5682343752986817</v>
      </c>
      <c r="I77" s="37">
        <f t="shared" si="21"/>
        <v>8.7608755972138519E-2</v>
      </c>
      <c r="J77" s="37">
        <f t="shared" si="21"/>
        <v>9.3615492913303219E-2</v>
      </c>
      <c r="K77" s="37">
        <f t="shared" si="21"/>
        <v>0.63673288238341963</v>
      </c>
      <c r="L77" s="37">
        <f t="shared" si="21"/>
        <v>0.58291846634374522</v>
      </c>
      <c r="M77" s="37">
        <f t="shared" si="21"/>
        <v>0.32825987716230431</v>
      </c>
      <c r="N77" s="37">
        <f t="shared" si="21"/>
        <v>0.44588966508077682</v>
      </c>
      <c r="O77" s="37">
        <f t="shared" si="21"/>
        <v>0.10541847202914011</v>
      </c>
      <c r="P77" s="37">
        <f t="shared" si="21"/>
        <v>0.13565793228873774</v>
      </c>
      <c r="Q77" s="37">
        <f>D$74*D$76*D77+D$74*E$76*E77+D$74*F$76*F77+G$74*G$76*G77+G$74*H$76*H77+I$74*I$76*I77+I$74*J$76*J77+K$74*K$76*K77+K$74*L$76*L77+M$74*M$76*M77+M$74*N$76*N77+O$74*O$76*O77+O$74*P$76*P77</f>
        <v>0.26733234963255315</v>
      </c>
      <c r="R77" s="21" t="s">
        <v>112</v>
      </c>
    </row>
    <row r="78" spans="2:18" x14ac:dyDescent="0.15">
      <c r="B78" s="57" t="s">
        <v>93</v>
      </c>
      <c r="C78" s="58"/>
      <c r="D78" s="37">
        <f t="shared" ref="D78:P78" si="22">D28</f>
        <v>0.26067021606223184</v>
      </c>
      <c r="E78" s="37">
        <f t="shared" si="22"/>
        <v>0.24654420601950452</v>
      </c>
      <c r="F78" s="37">
        <f t="shared" si="22"/>
        <v>0.14613586810987678</v>
      </c>
      <c r="G78" s="37">
        <f t="shared" si="22"/>
        <v>0.26914596104931515</v>
      </c>
      <c r="H78" s="37">
        <f t="shared" si="22"/>
        <v>0.11898520475303685</v>
      </c>
      <c r="I78" s="37">
        <f t="shared" si="22"/>
        <v>0.27131109786484453</v>
      </c>
      <c r="J78" s="37">
        <f t="shared" si="22"/>
        <v>0.24822570803173158</v>
      </c>
      <c r="K78" s="37">
        <f t="shared" si="22"/>
        <v>0.15288425652706053</v>
      </c>
      <c r="L78" s="37">
        <f t="shared" si="22"/>
        <v>0.28142360136751704</v>
      </c>
      <c r="M78" s="37">
        <f t="shared" si="22"/>
        <v>0.57621861114670425</v>
      </c>
      <c r="N78" s="37">
        <f t="shared" si="22"/>
        <v>0.3654276989465855</v>
      </c>
      <c r="O78" s="37">
        <f t="shared" si="22"/>
        <v>0.30078547362212316</v>
      </c>
      <c r="P78" s="37">
        <f t="shared" si="22"/>
        <v>0.58291846634374522</v>
      </c>
      <c r="Q78" s="37">
        <f t="shared" ref="Q78:Q79" si="23">D$74*D$76*D78+D$74*E$76*E78+D$74*F$76*F78+G$74*G$76*G78+G$74*H$76*H78+I$74*I$76*I78+I$74*J$76*J78+K$74*K$76*K78+K$74*L$76*L78+M$74*M$76*M78+M$74*N$76*N78+O$74*O$76*O78+O$74*P$76*P78</f>
        <v>0.23953669005464551</v>
      </c>
      <c r="R78" s="21" t="s">
        <v>113</v>
      </c>
    </row>
    <row r="79" spans="2:18" x14ac:dyDescent="0.15">
      <c r="B79" s="57" t="s">
        <v>94</v>
      </c>
      <c r="C79" s="58"/>
      <c r="D79" s="37">
        <f t="shared" ref="D79:P79" si="24">D29</f>
        <v>0.6563041363397043</v>
      </c>
      <c r="E79" s="37">
        <f t="shared" si="24"/>
        <v>0.62735238018277206</v>
      </c>
      <c r="F79" s="37">
        <f t="shared" si="24"/>
        <v>0.65645945090999624</v>
      </c>
      <c r="G79" s="37">
        <f t="shared" si="24"/>
        <v>0.59146480710377247</v>
      </c>
      <c r="H79" s="37">
        <f t="shared" si="24"/>
        <v>0.31278041994828149</v>
      </c>
      <c r="I79" s="37">
        <f t="shared" si="24"/>
        <v>0.6410801461630169</v>
      </c>
      <c r="J79" s="37">
        <f t="shared" si="24"/>
        <v>0.6581587990549651</v>
      </c>
      <c r="K79" s="37">
        <f t="shared" si="24"/>
        <v>0.21038286108951984</v>
      </c>
      <c r="L79" s="37">
        <f t="shared" si="24"/>
        <v>0.13565793228873771</v>
      </c>
      <c r="M79" s="37">
        <f t="shared" si="24"/>
        <v>9.5521511690991504E-2</v>
      </c>
      <c r="N79" s="37">
        <f t="shared" si="24"/>
        <v>0.18868263597263768</v>
      </c>
      <c r="O79" s="37">
        <f t="shared" si="24"/>
        <v>0.59379605434873683</v>
      </c>
      <c r="P79" s="37">
        <f t="shared" si="24"/>
        <v>0.2814236013675171</v>
      </c>
      <c r="Q79" s="37">
        <f t="shared" si="23"/>
        <v>0.49313096031280135</v>
      </c>
      <c r="R79" s="21" t="s">
        <v>111</v>
      </c>
    </row>
    <row r="80" spans="2:18" x14ac:dyDescent="0.15"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</row>
    <row r="81" spans="2:18" x14ac:dyDescent="0.15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</row>
    <row r="82" spans="2:18" x14ac:dyDescent="0.15">
      <c r="B82" s="39" t="s">
        <v>120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</row>
    <row r="83" spans="2:18" x14ac:dyDescent="0.15">
      <c r="B83" s="66" t="s">
        <v>76</v>
      </c>
      <c r="C83" s="67"/>
      <c r="D83" s="115" t="s">
        <v>52</v>
      </c>
      <c r="E83" s="115"/>
      <c r="F83" s="115"/>
      <c r="G83" s="115" t="s">
        <v>53</v>
      </c>
      <c r="H83" s="115"/>
      <c r="I83" s="115" t="s">
        <v>54</v>
      </c>
      <c r="J83" s="115"/>
      <c r="K83" s="115" t="s">
        <v>55</v>
      </c>
      <c r="L83" s="115"/>
      <c r="M83" s="115" t="s">
        <v>56</v>
      </c>
      <c r="N83" s="115"/>
      <c r="O83" s="115" t="s">
        <v>57</v>
      </c>
      <c r="P83" s="115"/>
      <c r="Q83" s="59" t="s">
        <v>2</v>
      </c>
    </row>
    <row r="84" spans="2:18" x14ac:dyDescent="0.15">
      <c r="B84" s="68"/>
      <c r="C84" s="69"/>
      <c r="D84" s="112">
        <f>D24-D24/(D24+G24+K24+M24+O24)*0.05</f>
        <v>0.28853655125779354</v>
      </c>
      <c r="E84" s="113"/>
      <c r="F84" s="114"/>
      <c r="G84" s="112">
        <f>G24-G24/(D24+G24+K24+M24+O24)*0.05</f>
        <v>0.2332568543822835</v>
      </c>
      <c r="H84" s="114"/>
      <c r="I84" s="112">
        <f>I24+0.05</f>
        <v>0.27573048118417398</v>
      </c>
      <c r="J84" s="114"/>
      <c r="K84" s="112">
        <f>K24-K24/(D24+G24+K24+M24+O24)*0.05</f>
        <v>8.0350609862894912E-2</v>
      </c>
      <c r="L84" s="114"/>
      <c r="M84" s="112">
        <f>M24-M24/(D24+G24+K24+M24+O24)*0.05</f>
        <v>4.5943472972491059E-2</v>
      </c>
      <c r="N84" s="114"/>
      <c r="O84" s="112">
        <f>O24-O24/(D24+G24+K24+M24+O24)*0.05</f>
        <v>7.6182030340362944E-2</v>
      </c>
      <c r="P84" s="114"/>
      <c r="Q84" s="60"/>
    </row>
    <row r="85" spans="2:18" x14ac:dyDescent="0.15">
      <c r="B85" s="48" t="s">
        <v>77</v>
      </c>
      <c r="C85" s="50" t="s">
        <v>78</v>
      </c>
      <c r="D85" s="35" t="s">
        <v>79</v>
      </c>
      <c r="E85" s="35" t="s">
        <v>80</v>
      </c>
      <c r="F85" s="35" t="s">
        <v>81</v>
      </c>
      <c r="G85" s="35" t="s">
        <v>82</v>
      </c>
      <c r="H85" s="35" t="s">
        <v>83</v>
      </c>
      <c r="I85" s="35" t="s">
        <v>84</v>
      </c>
      <c r="J85" s="35" t="s">
        <v>85</v>
      </c>
      <c r="K85" s="35" t="s">
        <v>86</v>
      </c>
      <c r="L85" s="35" t="s">
        <v>87</v>
      </c>
      <c r="M85" s="35" t="s">
        <v>88</v>
      </c>
      <c r="N85" s="35" t="s">
        <v>89</v>
      </c>
      <c r="O85" s="35" t="s">
        <v>90</v>
      </c>
      <c r="P85" s="35" t="s">
        <v>91</v>
      </c>
      <c r="Q85" s="60"/>
    </row>
    <row r="86" spans="2:18" x14ac:dyDescent="0.15">
      <c r="B86" s="49"/>
      <c r="C86" s="51"/>
      <c r="D86" s="36">
        <f>D26</f>
        <v>0.13761856041853018</v>
      </c>
      <c r="E86" s="36">
        <f t="shared" ref="E86:P86" si="25">E26</f>
        <v>0.25075297387297762</v>
      </c>
      <c r="F86" s="36">
        <f t="shared" si="25"/>
        <v>0.61162846570849216</v>
      </c>
      <c r="G86" s="36">
        <f t="shared" si="25"/>
        <v>0.35497237943749815</v>
      </c>
      <c r="H86" s="36">
        <f t="shared" si="25"/>
        <v>0.64502762056250185</v>
      </c>
      <c r="I86" s="36">
        <f t="shared" si="25"/>
        <v>0.28849937007768311</v>
      </c>
      <c r="J86" s="36">
        <f t="shared" si="25"/>
        <v>0.71150062992231689</v>
      </c>
      <c r="K86" s="36">
        <f t="shared" si="25"/>
        <v>0.5</v>
      </c>
      <c r="L86" s="36">
        <f t="shared" si="25"/>
        <v>0.5</v>
      </c>
      <c r="M86" s="36">
        <f t="shared" si="25"/>
        <v>0.5</v>
      </c>
      <c r="N86" s="36">
        <f t="shared" si="25"/>
        <v>0.5</v>
      </c>
      <c r="O86" s="36">
        <f t="shared" si="25"/>
        <v>0.30400417717777917</v>
      </c>
      <c r="P86" s="36">
        <f t="shared" si="25"/>
        <v>0.69599582282222083</v>
      </c>
      <c r="Q86" s="60"/>
    </row>
    <row r="87" spans="2:18" x14ac:dyDescent="0.15">
      <c r="B87" s="57" t="s">
        <v>92</v>
      </c>
      <c r="C87" s="58"/>
      <c r="D87" s="37">
        <f t="shared" ref="D87:P87" si="26">D27</f>
        <v>8.3025647598063954E-2</v>
      </c>
      <c r="E87" s="37">
        <f t="shared" si="26"/>
        <v>0.12610341379772336</v>
      </c>
      <c r="F87" s="37">
        <f t="shared" si="26"/>
        <v>0.19740468098012701</v>
      </c>
      <c r="G87" s="37">
        <f t="shared" si="26"/>
        <v>0.13938923184691226</v>
      </c>
      <c r="H87" s="37">
        <f t="shared" si="26"/>
        <v>0.5682343752986817</v>
      </c>
      <c r="I87" s="37">
        <f t="shared" si="26"/>
        <v>8.7608755972138519E-2</v>
      </c>
      <c r="J87" s="37">
        <f t="shared" si="26"/>
        <v>9.3615492913303219E-2</v>
      </c>
      <c r="K87" s="37">
        <f t="shared" si="26"/>
        <v>0.63673288238341963</v>
      </c>
      <c r="L87" s="37">
        <f t="shared" si="26"/>
        <v>0.58291846634374522</v>
      </c>
      <c r="M87" s="37">
        <f t="shared" si="26"/>
        <v>0.32825987716230431</v>
      </c>
      <c r="N87" s="37">
        <f t="shared" si="26"/>
        <v>0.44588966508077682</v>
      </c>
      <c r="O87" s="37">
        <f t="shared" si="26"/>
        <v>0.10541847202914011</v>
      </c>
      <c r="P87" s="37">
        <f t="shared" si="26"/>
        <v>0.13565793228873774</v>
      </c>
      <c r="Q87" s="37">
        <f>D$84*D$86*D87+D$84*E$86*E87+D$84*F$86*F87+G$84*G$86*G87+G$84*H$86*H87+I$84*I$86*I87+I$84*J$86*J87+K$84*K$86*K87+K$84*L$86*L87+M$84*M$86*M87+M$84*N$86*N87+O$84*O$86*O87+O$84*P$86*P87</f>
        <v>0.24604686077994392</v>
      </c>
      <c r="R87" s="21" t="s">
        <v>112</v>
      </c>
    </row>
    <row r="88" spans="2:18" x14ac:dyDescent="0.15">
      <c r="B88" s="57" t="s">
        <v>93</v>
      </c>
      <c r="C88" s="58"/>
      <c r="D88" s="37">
        <f t="shared" ref="D88:P88" si="27">D28</f>
        <v>0.26067021606223184</v>
      </c>
      <c r="E88" s="37">
        <f t="shared" si="27"/>
        <v>0.24654420601950452</v>
      </c>
      <c r="F88" s="37">
        <f t="shared" si="27"/>
        <v>0.14613586810987678</v>
      </c>
      <c r="G88" s="37">
        <f t="shared" si="27"/>
        <v>0.26914596104931515</v>
      </c>
      <c r="H88" s="37">
        <f t="shared" si="27"/>
        <v>0.11898520475303685</v>
      </c>
      <c r="I88" s="37">
        <f t="shared" si="27"/>
        <v>0.27131109786484453</v>
      </c>
      <c r="J88" s="37">
        <f t="shared" si="27"/>
        <v>0.24822570803173158</v>
      </c>
      <c r="K88" s="37">
        <f t="shared" si="27"/>
        <v>0.15288425652706053</v>
      </c>
      <c r="L88" s="37">
        <f t="shared" si="27"/>
        <v>0.28142360136751704</v>
      </c>
      <c r="M88" s="37">
        <f t="shared" si="27"/>
        <v>0.57621861114670425</v>
      </c>
      <c r="N88" s="37">
        <f t="shared" si="27"/>
        <v>0.3654276989465855</v>
      </c>
      <c r="O88" s="37">
        <f t="shared" si="27"/>
        <v>0.30078547362212316</v>
      </c>
      <c r="P88" s="37">
        <f t="shared" si="27"/>
        <v>0.58291846634374522</v>
      </c>
      <c r="Q88" s="37">
        <f t="shared" ref="Q88:Q89" si="28">D$84*D$86*D88+D$84*E$86*E88+D$84*F$86*F88+G$84*G$86*G88+G$84*H$86*H88+I$84*I$86*I88+I$84*J$86*J88+K$84*K$86*K88+K$84*L$86*L88+M$84*M$86*M88+M$84*N$86*N88+O$84*O$86*O88+O$84*P$86*P88</f>
        <v>0.24139884048621646</v>
      </c>
      <c r="R88" s="21" t="s">
        <v>113</v>
      </c>
    </row>
    <row r="89" spans="2:18" x14ac:dyDescent="0.15">
      <c r="B89" s="57" t="s">
        <v>94</v>
      </c>
      <c r="C89" s="58"/>
      <c r="D89" s="37">
        <f t="shared" ref="D89:P89" si="29">D29</f>
        <v>0.6563041363397043</v>
      </c>
      <c r="E89" s="37">
        <f t="shared" si="29"/>
        <v>0.62735238018277206</v>
      </c>
      <c r="F89" s="37">
        <f t="shared" si="29"/>
        <v>0.65645945090999624</v>
      </c>
      <c r="G89" s="37">
        <f t="shared" si="29"/>
        <v>0.59146480710377247</v>
      </c>
      <c r="H89" s="37">
        <f t="shared" si="29"/>
        <v>0.31278041994828149</v>
      </c>
      <c r="I89" s="37">
        <f t="shared" si="29"/>
        <v>0.6410801461630169</v>
      </c>
      <c r="J89" s="37">
        <f t="shared" si="29"/>
        <v>0.6581587990549651</v>
      </c>
      <c r="K89" s="37">
        <f t="shared" si="29"/>
        <v>0.21038286108951984</v>
      </c>
      <c r="L89" s="37">
        <f t="shared" si="29"/>
        <v>0.13565793228873771</v>
      </c>
      <c r="M89" s="37">
        <f t="shared" si="29"/>
        <v>9.5521511690991504E-2</v>
      </c>
      <c r="N89" s="37">
        <f t="shared" si="29"/>
        <v>0.18868263597263768</v>
      </c>
      <c r="O89" s="37">
        <f t="shared" si="29"/>
        <v>0.59379605434873683</v>
      </c>
      <c r="P89" s="37">
        <f t="shared" si="29"/>
        <v>0.2814236013675171</v>
      </c>
      <c r="Q89" s="37">
        <f t="shared" si="28"/>
        <v>0.51255429873383951</v>
      </c>
      <c r="R89" s="21" t="s">
        <v>111</v>
      </c>
    </row>
    <row r="90" spans="2:18" x14ac:dyDescent="0.15"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</row>
    <row r="91" spans="2:18" x14ac:dyDescent="0.15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</row>
    <row r="92" spans="2:18" x14ac:dyDescent="0.15">
      <c r="B92" s="39" t="s">
        <v>121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</row>
    <row r="93" spans="2:18" x14ac:dyDescent="0.15">
      <c r="B93" s="66" t="s">
        <v>76</v>
      </c>
      <c r="C93" s="67"/>
      <c r="D93" s="62" t="s">
        <v>52</v>
      </c>
      <c r="E93" s="64"/>
      <c r="F93" s="63"/>
      <c r="G93" s="62" t="s">
        <v>53</v>
      </c>
      <c r="H93" s="63"/>
      <c r="I93" s="62" t="s">
        <v>54</v>
      </c>
      <c r="J93" s="63"/>
      <c r="K93" s="62" t="s">
        <v>55</v>
      </c>
      <c r="L93" s="63"/>
      <c r="M93" s="62" t="s">
        <v>56</v>
      </c>
      <c r="N93" s="63"/>
      <c r="O93" s="62" t="s">
        <v>57</v>
      </c>
      <c r="P93" s="63"/>
      <c r="Q93" s="109" t="s">
        <v>2</v>
      </c>
    </row>
    <row r="94" spans="2:18" x14ac:dyDescent="0.15">
      <c r="B94" s="68"/>
      <c r="C94" s="69"/>
      <c r="D94" s="112">
        <f>D24+D24/(D24+G24+I24+M24+O24)*0.05</f>
        <v>0.32532774745152887</v>
      </c>
      <c r="E94" s="113"/>
      <c r="F94" s="114"/>
      <c r="G94" s="112">
        <f>G24+G24/(D24+G24+I24+M24+O24)*0.05</f>
        <v>0.26299935548206521</v>
      </c>
      <c r="H94" s="114"/>
      <c r="I94" s="112">
        <f>I24+I24/(D24+G24+I24+M24+O24)*0.05</f>
        <v>0.2380775927423231</v>
      </c>
      <c r="J94" s="114"/>
      <c r="K94" s="112">
        <f>K24-0.05</f>
        <v>3.5897620179873829E-2</v>
      </c>
      <c r="L94" s="114"/>
      <c r="M94" s="112">
        <f>M24+M24/(D24+G24+I24+M24+O24)*0.05</f>
        <v>5.1801709374721706E-2</v>
      </c>
      <c r="N94" s="114"/>
      <c r="O94" s="112">
        <f>O24+O24/(D24+G24+I24+M24+O24)*0.05</f>
        <v>8.5895974769487279E-2</v>
      </c>
      <c r="P94" s="114"/>
      <c r="Q94" s="110"/>
    </row>
    <row r="95" spans="2:18" x14ac:dyDescent="0.15">
      <c r="B95" s="48" t="s">
        <v>77</v>
      </c>
      <c r="C95" s="50" t="s">
        <v>78</v>
      </c>
      <c r="D95" s="35" t="s">
        <v>79</v>
      </c>
      <c r="E95" s="35" t="s">
        <v>80</v>
      </c>
      <c r="F95" s="35" t="s">
        <v>81</v>
      </c>
      <c r="G95" s="35" t="s">
        <v>82</v>
      </c>
      <c r="H95" s="35" t="s">
        <v>83</v>
      </c>
      <c r="I95" s="35" t="s">
        <v>84</v>
      </c>
      <c r="J95" s="35" t="s">
        <v>85</v>
      </c>
      <c r="K95" s="35" t="s">
        <v>86</v>
      </c>
      <c r="L95" s="35" t="s">
        <v>87</v>
      </c>
      <c r="M95" s="35" t="s">
        <v>88</v>
      </c>
      <c r="N95" s="35" t="s">
        <v>89</v>
      </c>
      <c r="O95" s="35" t="s">
        <v>90</v>
      </c>
      <c r="P95" s="35" t="s">
        <v>91</v>
      </c>
      <c r="Q95" s="110"/>
    </row>
    <row r="96" spans="2:18" x14ac:dyDescent="0.15">
      <c r="B96" s="49"/>
      <c r="C96" s="51"/>
      <c r="D96" s="36">
        <v>0.13761856041853018</v>
      </c>
      <c r="E96" s="36">
        <v>0.25075297387297762</v>
      </c>
      <c r="F96" s="36">
        <v>0.61162846570849216</v>
      </c>
      <c r="G96" s="36">
        <v>0.35497237943749815</v>
      </c>
      <c r="H96" s="36">
        <v>0.64502762056250185</v>
      </c>
      <c r="I96" s="36">
        <v>0.28849937007768311</v>
      </c>
      <c r="J96" s="36">
        <v>0.71150062992231689</v>
      </c>
      <c r="K96" s="36">
        <v>0.5</v>
      </c>
      <c r="L96" s="36">
        <v>0.5</v>
      </c>
      <c r="M96" s="36">
        <v>0.5</v>
      </c>
      <c r="N96" s="36">
        <v>0.5</v>
      </c>
      <c r="O96" s="36">
        <v>0.30400417717777917</v>
      </c>
      <c r="P96" s="36">
        <v>0.69599582282222083</v>
      </c>
      <c r="Q96" s="111"/>
    </row>
    <row r="97" spans="2:18" x14ac:dyDescent="0.15">
      <c r="B97" s="57" t="s">
        <v>92</v>
      </c>
      <c r="C97" s="58"/>
      <c r="D97" s="37">
        <v>8.3025647598063954E-2</v>
      </c>
      <c r="E97" s="37">
        <v>0.12610341379772336</v>
      </c>
      <c r="F97" s="37">
        <v>0.19740468098012701</v>
      </c>
      <c r="G97" s="37">
        <v>0.13938923184691226</v>
      </c>
      <c r="H97" s="37">
        <v>0.5682343752986817</v>
      </c>
      <c r="I97" s="37">
        <v>8.7608755972138519E-2</v>
      </c>
      <c r="J97" s="37">
        <v>9.3615492913303219E-2</v>
      </c>
      <c r="K97" s="37">
        <v>0.60621070569609381</v>
      </c>
      <c r="L97" s="37">
        <v>0.58291846634374522</v>
      </c>
      <c r="M97" s="37">
        <v>0.32825987716230431</v>
      </c>
      <c r="N97" s="37">
        <v>0.44588966508077682</v>
      </c>
      <c r="O97" s="37">
        <v>0.10541847202914011</v>
      </c>
      <c r="P97" s="37">
        <v>0.13565793228873774</v>
      </c>
      <c r="Q97" s="37">
        <f>D$94*D$96*D97+D$94*E$96*E97+D$94*F$96*F97+G$94*G$96*G97+G$94*H$96*H97+I$94*I$96*I97+I$94*J$96*J97+K$94*K$96*K97+K$94*L$96*L97+M$94*M$96*M97+M$94*N$96*N97+O$94*O$96*O97+O$94*P$96*P97</f>
        <v>0.23682576638656247</v>
      </c>
      <c r="R97" s="24" t="s">
        <v>113</v>
      </c>
    </row>
    <row r="98" spans="2:18" x14ac:dyDescent="0.15">
      <c r="B98" s="57" t="s">
        <v>93</v>
      </c>
      <c r="C98" s="58"/>
      <c r="D98" s="37">
        <v>0.26067021606223184</v>
      </c>
      <c r="E98" s="37">
        <v>0.24654420601950452</v>
      </c>
      <c r="F98" s="37">
        <v>0.14613586810987678</v>
      </c>
      <c r="G98" s="37">
        <v>0.26914596104931515</v>
      </c>
      <c r="H98" s="37">
        <v>0.11898520475303685</v>
      </c>
      <c r="I98" s="37">
        <v>0.27131109786484453</v>
      </c>
      <c r="J98" s="37">
        <v>0.24822570803173158</v>
      </c>
      <c r="K98" s="37">
        <v>9.1377088251675953E-2</v>
      </c>
      <c r="L98" s="37">
        <v>0.28142360136751704</v>
      </c>
      <c r="M98" s="37">
        <v>0.57621861114670425</v>
      </c>
      <c r="N98" s="37">
        <v>0.3654276989465855</v>
      </c>
      <c r="O98" s="37">
        <v>0.30078547362212316</v>
      </c>
      <c r="P98" s="37">
        <v>0.58291846634374522</v>
      </c>
      <c r="Q98" s="37">
        <f t="shared" ref="Q98:Q99" si="30">D$94*D$96*D98+D$94*E$96*E98+D$94*F$96*F98+G$94*G$96*G98+G$94*H$96*H98+I$94*I$96*I98+I$94*J$96*J98+K$94*K$96*K98+K$94*L$96*L98+M$94*M$96*M98+M$94*N$96*N98+O$94*O$96*O98+O$94*P$96*P98</f>
        <v>0.24063901592379749</v>
      </c>
      <c r="R98" s="24" t="s">
        <v>112</v>
      </c>
    </row>
    <row r="99" spans="2:18" x14ac:dyDescent="0.15">
      <c r="B99" s="57" t="s">
        <v>94</v>
      </c>
      <c r="C99" s="58"/>
      <c r="D99" s="37">
        <v>0.6563041363397043</v>
      </c>
      <c r="E99" s="37">
        <v>0.62735238018277206</v>
      </c>
      <c r="F99" s="37">
        <v>0.65645945090999624</v>
      </c>
      <c r="G99" s="37">
        <v>0.59146480710377247</v>
      </c>
      <c r="H99" s="37">
        <v>0.31278041994828149</v>
      </c>
      <c r="I99" s="37">
        <v>0.6410801461630169</v>
      </c>
      <c r="J99" s="37">
        <v>0.6581587990549651</v>
      </c>
      <c r="K99" s="37">
        <v>0.30241220605223024</v>
      </c>
      <c r="L99" s="37">
        <v>0.13565793228873771</v>
      </c>
      <c r="M99" s="37">
        <v>9.5521511690991504E-2</v>
      </c>
      <c r="N99" s="37">
        <v>0.18868263597263768</v>
      </c>
      <c r="O99" s="37">
        <v>0.59379605434873683</v>
      </c>
      <c r="P99" s="37">
        <v>0.2814236013675171</v>
      </c>
      <c r="Q99" s="37">
        <f t="shared" si="30"/>
        <v>0.52253521768964017</v>
      </c>
      <c r="R99" s="24" t="s">
        <v>111</v>
      </c>
    </row>
    <row r="100" spans="2:18" x14ac:dyDescent="0.15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</row>
    <row r="101" spans="2:18" x14ac:dyDescent="0.15"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</row>
    <row r="102" spans="2:18" x14ac:dyDescent="0.15">
      <c r="B102" s="39" t="s">
        <v>122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</row>
    <row r="103" spans="2:18" x14ac:dyDescent="0.15">
      <c r="B103" s="103" t="s">
        <v>76</v>
      </c>
      <c r="C103" s="104"/>
      <c r="D103" s="107" t="s">
        <v>52</v>
      </c>
      <c r="E103" s="108"/>
      <c r="F103" s="92"/>
      <c r="G103" s="91" t="s">
        <v>53</v>
      </c>
      <c r="H103" s="92"/>
      <c r="I103" s="91" t="s">
        <v>54</v>
      </c>
      <c r="J103" s="92"/>
      <c r="K103" s="91" t="s">
        <v>55</v>
      </c>
      <c r="L103" s="92"/>
      <c r="M103" s="91" t="s">
        <v>56</v>
      </c>
      <c r="N103" s="92"/>
      <c r="O103" s="91" t="s">
        <v>57</v>
      </c>
      <c r="P103" s="92"/>
      <c r="Q103" s="93" t="s">
        <v>2</v>
      </c>
    </row>
    <row r="104" spans="2:18" x14ac:dyDescent="0.15">
      <c r="B104" s="105"/>
      <c r="C104" s="106"/>
      <c r="D104" s="96">
        <f>D24-D24/(D24+G24+I24+M24+O24)*0.05</f>
        <v>0.29158363953715721</v>
      </c>
      <c r="E104" s="97"/>
      <c r="F104" s="98"/>
      <c r="G104" s="96">
        <f>G24-G24/(D24+G24+I24+M24+O24)*0.05</f>
        <v>0.23572016180025587</v>
      </c>
      <c r="H104" s="98"/>
      <c r="I104" s="96">
        <f>I24-I24/(D24+G24+I24+M24+O24)*0.05</f>
        <v>0.21338336962602483</v>
      </c>
      <c r="J104" s="98"/>
      <c r="K104" s="96">
        <f>K24+0.05</f>
        <v>0.13589762017987383</v>
      </c>
      <c r="L104" s="98"/>
      <c r="M104" s="96">
        <f>M24-M24/(D24+G24+I24+M24+O24)*0.05</f>
        <v>4.6428658705104396E-2</v>
      </c>
      <c r="N104" s="98"/>
      <c r="O104" s="96">
        <f>O24-O24/(D24+G24+I24+M24+O24)*0.05</f>
        <v>7.698655015158383E-2</v>
      </c>
      <c r="P104" s="98"/>
      <c r="Q104" s="94"/>
    </row>
    <row r="105" spans="2:18" x14ac:dyDescent="0.15">
      <c r="B105" s="99" t="s">
        <v>77</v>
      </c>
      <c r="C105" s="101" t="s">
        <v>78</v>
      </c>
      <c r="D105" s="40" t="s">
        <v>79</v>
      </c>
      <c r="E105" s="40" t="s">
        <v>80</v>
      </c>
      <c r="F105" s="40" t="s">
        <v>81</v>
      </c>
      <c r="G105" s="40" t="s">
        <v>82</v>
      </c>
      <c r="H105" s="40" t="s">
        <v>83</v>
      </c>
      <c r="I105" s="40" t="s">
        <v>84</v>
      </c>
      <c r="J105" s="40" t="s">
        <v>85</v>
      </c>
      <c r="K105" s="40" t="s">
        <v>86</v>
      </c>
      <c r="L105" s="40" t="s">
        <v>87</v>
      </c>
      <c r="M105" s="40" t="s">
        <v>88</v>
      </c>
      <c r="N105" s="40" t="s">
        <v>89</v>
      </c>
      <c r="O105" s="40" t="s">
        <v>90</v>
      </c>
      <c r="P105" s="40" t="s">
        <v>91</v>
      </c>
      <c r="Q105" s="94"/>
    </row>
    <row r="106" spans="2:18" x14ac:dyDescent="0.15">
      <c r="B106" s="100"/>
      <c r="C106" s="102"/>
      <c r="D106" s="41">
        <v>0.13761856041853018</v>
      </c>
      <c r="E106" s="41">
        <v>0.25075297387297762</v>
      </c>
      <c r="F106" s="41">
        <v>0.61162846570849216</v>
      </c>
      <c r="G106" s="41">
        <v>0.35497237943749815</v>
      </c>
      <c r="H106" s="41">
        <v>0.64502762056250185</v>
      </c>
      <c r="I106" s="41">
        <v>0.28849937007768311</v>
      </c>
      <c r="J106" s="41">
        <v>0.71150062992231689</v>
      </c>
      <c r="K106" s="41">
        <v>0.5</v>
      </c>
      <c r="L106" s="41">
        <v>0.5</v>
      </c>
      <c r="M106" s="41">
        <v>0.5</v>
      </c>
      <c r="N106" s="41">
        <v>0.5</v>
      </c>
      <c r="O106" s="41">
        <v>0.30400417717777917</v>
      </c>
      <c r="P106" s="41">
        <v>0.69599582282222083</v>
      </c>
      <c r="Q106" s="95"/>
    </row>
    <row r="107" spans="2:18" x14ac:dyDescent="0.15">
      <c r="B107" s="89" t="s">
        <v>92</v>
      </c>
      <c r="C107" s="90"/>
      <c r="D107" s="42">
        <v>8.3025647598063954E-2</v>
      </c>
      <c r="E107" s="42">
        <v>0.12610341379772336</v>
      </c>
      <c r="F107" s="42">
        <v>0.19740468098012701</v>
      </c>
      <c r="G107" s="42">
        <v>0.13938923184691226</v>
      </c>
      <c r="H107" s="42">
        <v>0.5682343752986817</v>
      </c>
      <c r="I107" s="42">
        <v>8.7608755972138519E-2</v>
      </c>
      <c r="J107" s="42">
        <v>9.3615492913303219E-2</v>
      </c>
      <c r="K107" s="42">
        <v>0.60621070569609381</v>
      </c>
      <c r="L107" s="42">
        <v>0.58291846634374522</v>
      </c>
      <c r="M107" s="42">
        <v>0.32825987716230431</v>
      </c>
      <c r="N107" s="42">
        <v>0.44588966508077682</v>
      </c>
      <c r="O107" s="42">
        <v>0.10541847202914011</v>
      </c>
      <c r="P107" s="42">
        <v>0.13565793228873774</v>
      </c>
      <c r="Q107" s="42">
        <f>D$104*D$106*D107+D$104*E$106*E107+D$104*F$106*F107+G$104*G$106*G107+G$104*H$106*H107+I$104*I$106*I107+I$104*J$106*J107+K$104*K$106*K107+K$104*L$106*L107+M$104*M$106*M107+M$104*N$106*N107+O$104*O$106*O107+O$104*P$106*P107</f>
        <v>0.27393166168578376</v>
      </c>
      <c r="R107" s="24" t="s">
        <v>112</v>
      </c>
    </row>
    <row r="108" spans="2:18" x14ac:dyDescent="0.15">
      <c r="B108" s="89" t="s">
        <v>93</v>
      </c>
      <c r="C108" s="90"/>
      <c r="D108" s="42">
        <v>0.26067021606223184</v>
      </c>
      <c r="E108" s="42">
        <v>0.24654420601950452</v>
      </c>
      <c r="F108" s="42">
        <v>0.14613586810987678</v>
      </c>
      <c r="G108" s="42">
        <v>0.26914596104931515</v>
      </c>
      <c r="H108" s="42">
        <v>0.11898520475303685</v>
      </c>
      <c r="I108" s="42">
        <v>0.27131109786484453</v>
      </c>
      <c r="J108" s="42">
        <v>0.24822570803173158</v>
      </c>
      <c r="K108" s="42">
        <v>9.1377088251675953E-2</v>
      </c>
      <c r="L108" s="42">
        <v>0.28142360136751704</v>
      </c>
      <c r="M108" s="42">
        <v>0.57621861114670425</v>
      </c>
      <c r="N108" s="42">
        <v>0.3654276989465855</v>
      </c>
      <c r="O108" s="42">
        <v>0.30078547362212316</v>
      </c>
      <c r="P108" s="42">
        <v>0.58291846634374522</v>
      </c>
      <c r="Q108" s="42">
        <f t="shared" ref="Q108:Q109" si="31">D$104*D$106*D108+D$104*E$106*E108+D$104*F$106*F108+G$104*G$106*G108+G$104*H$106*H108+I$104*I$106*I108+I$104*J$106*J108+K$104*K$106*K108+K$104*L$106*L108+M$104*M$106*M108+M$104*N$106*N108+O$104*O$106*O108+O$104*P$106*P108</f>
        <v>0.23501319523820599</v>
      </c>
      <c r="R108" s="24" t="s">
        <v>113</v>
      </c>
    </row>
    <row r="109" spans="2:18" x14ac:dyDescent="0.15">
      <c r="B109" s="89" t="s">
        <v>94</v>
      </c>
      <c r="C109" s="90"/>
      <c r="D109" s="42">
        <v>0.6563041363397043</v>
      </c>
      <c r="E109" s="42">
        <v>0.62735238018277206</v>
      </c>
      <c r="F109" s="42">
        <v>0.65645945090999624</v>
      </c>
      <c r="G109" s="42">
        <v>0.59146480710377247</v>
      </c>
      <c r="H109" s="42">
        <v>0.31278041994828149</v>
      </c>
      <c r="I109" s="42">
        <v>0.6410801461630169</v>
      </c>
      <c r="J109" s="42">
        <v>0.6581587990549651</v>
      </c>
      <c r="K109" s="42">
        <v>0.30241220605223024</v>
      </c>
      <c r="L109" s="42">
        <v>0.13565793228873771</v>
      </c>
      <c r="M109" s="42">
        <v>9.5521511690991504E-2</v>
      </c>
      <c r="N109" s="42">
        <v>0.18868263597263768</v>
      </c>
      <c r="O109" s="42">
        <v>0.59379605434873683</v>
      </c>
      <c r="P109" s="42">
        <v>0.2814236013675171</v>
      </c>
      <c r="Q109" s="42">
        <f t="shared" si="31"/>
        <v>0.49105514307601023</v>
      </c>
      <c r="R109" s="24" t="s">
        <v>111</v>
      </c>
    </row>
    <row r="110" spans="2:18" x14ac:dyDescent="0.15"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</row>
    <row r="111" spans="2:18" x14ac:dyDescent="0.15"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</row>
    <row r="112" spans="2:18" x14ac:dyDescent="0.15">
      <c r="B112" s="39" t="s">
        <v>123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</row>
    <row r="113" spans="2:18" x14ac:dyDescent="0.15">
      <c r="B113" s="103" t="s">
        <v>76</v>
      </c>
      <c r="C113" s="104"/>
      <c r="D113" s="107" t="s">
        <v>52</v>
      </c>
      <c r="E113" s="108"/>
      <c r="F113" s="92"/>
      <c r="G113" s="91" t="s">
        <v>53</v>
      </c>
      <c r="H113" s="92"/>
      <c r="I113" s="91" t="s">
        <v>54</v>
      </c>
      <c r="J113" s="92"/>
      <c r="K113" s="91" t="s">
        <v>55</v>
      </c>
      <c r="L113" s="92"/>
      <c r="M113" s="91" t="s">
        <v>56</v>
      </c>
      <c r="N113" s="92"/>
      <c r="O113" s="91" t="s">
        <v>57</v>
      </c>
      <c r="P113" s="92"/>
      <c r="Q113" s="93" t="s">
        <v>2</v>
      </c>
      <c r="R113" s="25"/>
    </row>
    <row r="114" spans="2:18" x14ac:dyDescent="0.15">
      <c r="B114" s="105"/>
      <c r="C114" s="106"/>
      <c r="D114" s="96">
        <f>D24+D24/(D24+G24+I24+K24+O24)*M24</f>
        <v>0.32438807342075632</v>
      </c>
      <c r="E114" s="97"/>
      <c r="F114" s="98"/>
      <c r="G114" s="96">
        <f>G24+G24/(D24+G24+I24+K24+O24)*M24</f>
        <v>0.2622397102738333</v>
      </c>
      <c r="H114" s="98"/>
      <c r="I114" s="96">
        <f>I24+I24/(D24+G24+I24+K24+O24)*M24</f>
        <v>0.23738993135173686</v>
      </c>
      <c r="J114" s="98"/>
      <c r="K114" s="96">
        <f>K24+K24/(D24+G24+I24+K24+O24)*M24</f>
        <v>9.0334411422002714E-2</v>
      </c>
      <c r="L114" s="98"/>
      <c r="M114" s="96">
        <f>M24-M24</f>
        <v>0</v>
      </c>
      <c r="N114" s="98"/>
      <c r="O114" s="96">
        <f>O24+O24/(D24+G24+I24+K24+O24)*M24</f>
        <v>8.5647873531670762E-2</v>
      </c>
      <c r="P114" s="98"/>
      <c r="Q114" s="94"/>
      <c r="R114" s="25"/>
    </row>
    <row r="115" spans="2:18" x14ac:dyDescent="0.15">
      <c r="B115" s="99" t="s">
        <v>77</v>
      </c>
      <c r="C115" s="101" t="s">
        <v>78</v>
      </c>
      <c r="D115" s="40" t="s">
        <v>79</v>
      </c>
      <c r="E115" s="40" t="s">
        <v>80</v>
      </c>
      <c r="F115" s="40" t="s">
        <v>81</v>
      </c>
      <c r="G115" s="40" t="s">
        <v>82</v>
      </c>
      <c r="H115" s="40" t="s">
        <v>83</v>
      </c>
      <c r="I115" s="40" t="s">
        <v>84</v>
      </c>
      <c r="J115" s="40" t="s">
        <v>85</v>
      </c>
      <c r="K115" s="40" t="s">
        <v>86</v>
      </c>
      <c r="L115" s="40" t="s">
        <v>87</v>
      </c>
      <c r="M115" s="40" t="s">
        <v>88</v>
      </c>
      <c r="N115" s="40" t="s">
        <v>89</v>
      </c>
      <c r="O115" s="40" t="s">
        <v>90</v>
      </c>
      <c r="P115" s="40" t="s">
        <v>91</v>
      </c>
      <c r="Q115" s="94"/>
      <c r="R115" s="25"/>
    </row>
    <row r="116" spans="2:18" x14ac:dyDescent="0.15">
      <c r="B116" s="100"/>
      <c r="C116" s="102"/>
      <c r="D116" s="41">
        <f>D26</f>
        <v>0.13761856041853018</v>
      </c>
      <c r="E116" s="41">
        <f t="shared" ref="E116:P116" si="32">E26</f>
        <v>0.25075297387297762</v>
      </c>
      <c r="F116" s="41">
        <f t="shared" si="32"/>
        <v>0.61162846570849216</v>
      </c>
      <c r="G116" s="41">
        <f t="shared" si="32"/>
        <v>0.35497237943749815</v>
      </c>
      <c r="H116" s="41">
        <f t="shared" si="32"/>
        <v>0.64502762056250185</v>
      </c>
      <c r="I116" s="41">
        <f t="shared" si="32"/>
        <v>0.28849937007768311</v>
      </c>
      <c r="J116" s="41">
        <f t="shared" si="32"/>
        <v>0.71150062992231689</v>
      </c>
      <c r="K116" s="41">
        <f t="shared" si="32"/>
        <v>0.5</v>
      </c>
      <c r="L116" s="41">
        <f t="shared" si="32"/>
        <v>0.5</v>
      </c>
      <c r="M116" s="41">
        <f t="shared" si="32"/>
        <v>0.5</v>
      </c>
      <c r="N116" s="41">
        <f t="shared" si="32"/>
        <v>0.5</v>
      </c>
      <c r="O116" s="41">
        <f t="shared" si="32"/>
        <v>0.30400417717777917</v>
      </c>
      <c r="P116" s="41">
        <f t="shared" si="32"/>
        <v>0.69599582282222083</v>
      </c>
      <c r="Q116" s="95"/>
      <c r="R116" s="25"/>
    </row>
    <row r="117" spans="2:18" x14ac:dyDescent="0.15">
      <c r="B117" s="89" t="s">
        <v>92</v>
      </c>
      <c r="C117" s="90"/>
      <c r="D117" s="43">
        <v>8.3025647598063954E-2</v>
      </c>
      <c r="E117" s="43">
        <v>0.12610341379772336</v>
      </c>
      <c r="F117" s="43">
        <v>0.19740468098012701</v>
      </c>
      <c r="G117" s="43">
        <v>0.13938923184691226</v>
      </c>
      <c r="H117" s="43">
        <v>0.5682343752986817</v>
      </c>
      <c r="I117" s="43">
        <v>8.7608755972138519E-2</v>
      </c>
      <c r="J117" s="43">
        <v>9.3615492913303219E-2</v>
      </c>
      <c r="K117" s="43">
        <v>0.60621070569609381</v>
      </c>
      <c r="L117" s="43">
        <v>0.58291846634374522</v>
      </c>
      <c r="M117" s="43">
        <v>0.32825987716230431</v>
      </c>
      <c r="N117" s="43">
        <v>0.44588966508077682</v>
      </c>
      <c r="O117" s="43">
        <v>0.10541847202914011</v>
      </c>
      <c r="P117" s="43">
        <v>0.13565793228873774</v>
      </c>
      <c r="Q117" s="42">
        <f>D$114*D$116*D117+D$114*E$116*E117+D$114*F$116*F117+G$114*G$116*G117+G$114*H$116*H117+I$114*I$116*I117+I$114*J$116*J117+K$114*K$116*K117+K$114*L$116*L117+M$114*M$116*M117+M$114*N$116*N117+O$114*O$116*O117+O$114*P$116*P117</f>
        <v>0.24857633800438442</v>
      </c>
      <c r="R117" s="26" t="s">
        <v>112</v>
      </c>
    </row>
    <row r="118" spans="2:18" x14ac:dyDescent="0.15">
      <c r="B118" s="89" t="s">
        <v>93</v>
      </c>
      <c r="C118" s="90"/>
      <c r="D118" s="43">
        <v>0.26067021606223184</v>
      </c>
      <c r="E118" s="43">
        <v>0.24654420601950452</v>
      </c>
      <c r="F118" s="43">
        <v>0.14613586810987678</v>
      </c>
      <c r="G118" s="43">
        <v>0.26914596104931515</v>
      </c>
      <c r="H118" s="43">
        <v>0.11898520475303685</v>
      </c>
      <c r="I118" s="43">
        <v>0.27131109786484453</v>
      </c>
      <c r="J118" s="43">
        <v>0.24822570803173158</v>
      </c>
      <c r="K118" s="43">
        <v>9.1377088251675953E-2</v>
      </c>
      <c r="L118" s="43">
        <v>0.28142360136751704</v>
      </c>
      <c r="M118" s="43">
        <v>0.57621861114670425</v>
      </c>
      <c r="N118" s="43">
        <v>0.3654276989465855</v>
      </c>
      <c r="O118" s="43">
        <v>0.30078547362212316</v>
      </c>
      <c r="P118" s="43">
        <v>0.58291846634374522</v>
      </c>
      <c r="Q118" s="42">
        <f t="shared" ref="Q118:Q119" si="33">D$114*D$116*D118+D$114*E$116*E118+D$114*F$116*F118+G$114*G$116*G118+G$114*H$116*H118+I$114*I$116*I118+I$114*J$116*J118+K$114*K$116*K118+K$114*L$116*L118+M$114*M$116*M118+M$114*N$116*N118+O$114*O$116*O118+O$114*P$116*P118</f>
        <v>0.22579132200555119</v>
      </c>
      <c r="R118" s="26" t="s">
        <v>113</v>
      </c>
    </row>
    <row r="119" spans="2:18" x14ac:dyDescent="0.15">
      <c r="B119" s="89" t="s">
        <v>94</v>
      </c>
      <c r="C119" s="90"/>
      <c r="D119" s="43">
        <v>0.6563041363397043</v>
      </c>
      <c r="E119" s="43">
        <v>0.62735238018277206</v>
      </c>
      <c r="F119" s="43">
        <v>0.65645945090999624</v>
      </c>
      <c r="G119" s="43">
        <v>0.59146480710377247</v>
      </c>
      <c r="H119" s="43">
        <v>0.31278041994828149</v>
      </c>
      <c r="I119" s="43">
        <v>0.6410801461630169</v>
      </c>
      <c r="J119" s="43">
        <v>0.6581587990549651</v>
      </c>
      <c r="K119" s="43">
        <v>0.30241220605223024</v>
      </c>
      <c r="L119" s="43">
        <v>0.13565793228873771</v>
      </c>
      <c r="M119" s="43">
        <v>9.5521511690991504E-2</v>
      </c>
      <c r="N119" s="43">
        <v>0.18868263597263768</v>
      </c>
      <c r="O119" s="43">
        <v>0.59379605434873683</v>
      </c>
      <c r="P119" s="43">
        <v>0.2814236013675171</v>
      </c>
      <c r="Q119" s="42">
        <f t="shared" si="33"/>
        <v>0.52563233999006442</v>
      </c>
      <c r="R119" s="26" t="s">
        <v>111</v>
      </c>
    </row>
    <row r="120" spans="2:18" x14ac:dyDescent="0.15"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</row>
    <row r="121" spans="2:18" x14ac:dyDescent="0.15"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</row>
    <row r="122" spans="2:18" x14ac:dyDescent="0.15">
      <c r="B122" s="39" t="s">
        <v>124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</row>
    <row r="123" spans="2:18" x14ac:dyDescent="0.15">
      <c r="B123" s="103" t="s">
        <v>76</v>
      </c>
      <c r="C123" s="104"/>
      <c r="D123" s="107" t="s">
        <v>52</v>
      </c>
      <c r="E123" s="108"/>
      <c r="F123" s="92"/>
      <c r="G123" s="91" t="s">
        <v>53</v>
      </c>
      <c r="H123" s="92"/>
      <c r="I123" s="91" t="s">
        <v>54</v>
      </c>
      <c r="J123" s="92"/>
      <c r="K123" s="91" t="s">
        <v>55</v>
      </c>
      <c r="L123" s="92"/>
      <c r="M123" s="91" t="s">
        <v>56</v>
      </c>
      <c r="N123" s="92"/>
      <c r="O123" s="91" t="s">
        <v>57</v>
      </c>
      <c r="P123" s="92"/>
      <c r="Q123" s="93" t="s">
        <v>2</v>
      </c>
    </row>
    <row r="124" spans="2:18" x14ac:dyDescent="0.15">
      <c r="B124" s="105"/>
      <c r="C124" s="106"/>
      <c r="D124" s="96">
        <f>D24-D24/(D24+G24+I24+K24+O24)*0.05</f>
        <v>0.29223628982330524</v>
      </c>
      <c r="E124" s="97"/>
      <c r="F124" s="98"/>
      <c r="G124" s="96">
        <f>G24-G24/(D24+G24+I24+K24+O24)*0.05</f>
        <v>0.23624777312746886</v>
      </c>
      <c r="H124" s="98"/>
      <c r="I124" s="96">
        <f>I24-I24/(D24+G24+I24+K24+O24)*0.05</f>
        <v>0.21386098461658712</v>
      </c>
      <c r="J124" s="98"/>
      <c r="K124" s="96">
        <f>K24-K24/(D24+G24+I24+K24+O24)*0.05</f>
        <v>8.1380899608773691E-2</v>
      </c>
      <c r="L124" s="98"/>
      <c r="M124" s="96">
        <f>M24+0.05</f>
        <v>9.9115184039913054E-2</v>
      </c>
      <c r="N124" s="98"/>
      <c r="O124" s="96">
        <f>O24-O24/(D24+G24+I24+K24+O24)*0.05</f>
        <v>7.715886878395202E-2</v>
      </c>
      <c r="P124" s="98"/>
      <c r="Q124" s="94"/>
    </row>
    <row r="125" spans="2:18" x14ac:dyDescent="0.15">
      <c r="B125" s="99" t="s">
        <v>77</v>
      </c>
      <c r="C125" s="101" t="s">
        <v>78</v>
      </c>
      <c r="D125" s="40" t="s">
        <v>79</v>
      </c>
      <c r="E125" s="40" t="s">
        <v>80</v>
      </c>
      <c r="F125" s="40" t="s">
        <v>81</v>
      </c>
      <c r="G125" s="40" t="s">
        <v>82</v>
      </c>
      <c r="H125" s="40" t="s">
        <v>83</v>
      </c>
      <c r="I125" s="40" t="s">
        <v>84</v>
      </c>
      <c r="J125" s="40" t="s">
        <v>85</v>
      </c>
      <c r="K125" s="40" t="s">
        <v>86</v>
      </c>
      <c r="L125" s="40" t="s">
        <v>87</v>
      </c>
      <c r="M125" s="40" t="s">
        <v>88</v>
      </c>
      <c r="N125" s="40" t="s">
        <v>89</v>
      </c>
      <c r="O125" s="40" t="s">
        <v>90</v>
      </c>
      <c r="P125" s="40" t="s">
        <v>91</v>
      </c>
      <c r="Q125" s="94"/>
    </row>
    <row r="126" spans="2:18" x14ac:dyDescent="0.15">
      <c r="B126" s="100"/>
      <c r="C126" s="102"/>
      <c r="D126" s="41">
        <v>0.13761856041853018</v>
      </c>
      <c r="E126" s="41">
        <v>0.25075297387297762</v>
      </c>
      <c r="F126" s="41">
        <v>0.61162846570849216</v>
      </c>
      <c r="G126" s="41">
        <v>0.35497237943749815</v>
      </c>
      <c r="H126" s="41">
        <v>0.64502762056250185</v>
      </c>
      <c r="I126" s="41">
        <v>0.28849937007768311</v>
      </c>
      <c r="J126" s="41">
        <v>0.71150062992231689</v>
      </c>
      <c r="K126" s="41">
        <v>0.5</v>
      </c>
      <c r="L126" s="41">
        <v>0.5</v>
      </c>
      <c r="M126" s="41">
        <v>0.5</v>
      </c>
      <c r="N126" s="41">
        <v>0.5</v>
      </c>
      <c r="O126" s="41">
        <v>0.30400417717777917</v>
      </c>
      <c r="P126" s="41">
        <v>0.69599582282222083</v>
      </c>
      <c r="Q126" s="95"/>
    </row>
    <row r="127" spans="2:18" x14ac:dyDescent="0.15">
      <c r="B127" s="89" t="s">
        <v>92</v>
      </c>
      <c r="C127" s="90"/>
      <c r="D127" s="42">
        <v>8.3025647598063954E-2</v>
      </c>
      <c r="E127" s="42">
        <v>0.12610341379772336</v>
      </c>
      <c r="F127" s="42">
        <v>0.19740468098012701</v>
      </c>
      <c r="G127" s="42">
        <v>0.13938923184691226</v>
      </c>
      <c r="H127" s="42">
        <v>0.5682343752986817</v>
      </c>
      <c r="I127" s="42">
        <v>8.7608755972138519E-2</v>
      </c>
      <c r="J127" s="42">
        <v>9.3615492913303219E-2</v>
      </c>
      <c r="K127" s="42">
        <v>0.60621070569609381</v>
      </c>
      <c r="L127" s="42">
        <v>0.58291846634374522</v>
      </c>
      <c r="M127" s="42">
        <v>0.32825987716230431</v>
      </c>
      <c r="N127" s="42">
        <v>0.44588966508077682</v>
      </c>
      <c r="O127" s="42">
        <v>0.10541847202914011</v>
      </c>
      <c r="P127" s="42">
        <v>0.13565793228873774</v>
      </c>
      <c r="Q127" s="42">
        <f>D$124*D$126*D127+D$124*E$126*E127+D$124*F$126*F127+G$124*G$126*G127+G$124*H$126*H127+I$124*I$126*I127+I$124*J$126*J127+K$124*K$126*K127+K$124*L$126*L127+M$124*M$126*M127+M$124*N$126*N127+O$124*O$126*O127+O$124*P$126*P127</f>
        <v>0.26230363569203086</v>
      </c>
      <c r="R127" s="24" t="s">
        <v>112</v>
      </c>
    </row>
    <row r="128" spans="2:18" x14ac:dyDescent="0.15">
      <c r="B128" s="89" t="s">
        <v>93</v>
      </c>
      <c r="C128" s="90"/>
      <c r="D128" s="42">
        <v>0.26067021606223184</v>
      </c>
      <c r="E128" s="42">
        <v>0.24654420601950452</v>
      </c>
      <c r="F128" s="42">
        <v>0.14613586810987678</v>
      </c>
      <c r="G128" s="42">
        <v>0.26914596104931515</v>
      </c>
      <c r="H128" s="42">
        <v>0.11898520475303685</v>
      </c>
      <c r="I128" s="42">
        <v>0.27131109786484453</v>
      </c>
      <c r="J128" s="42">
        <v>0.24822570803173158</v>
      </c>
      <c r="K128" s="42">
        <v>9.1377088251675953E-2</v>
      </c>
      <c r="L128" s="42">
        <v>0.28142360136751704</v>
      </c>
      <c r="M128" s="42">
        <v>0.57621861114670425</v>
      </c>
      <c r="N128" s="42">
        <v>0.3654276989465855</v>
      </c>
      <c r="O128" s="42">
        <v>0.30078547362212316</v>
      </c>
      <c r="P128" s="42">
        <v>0.58291846634374522</v>
      </c>
      <c r="Q128" s="42">
        <f t="shared" ref="Q128:Q129" si="34">D$124*D$126*D128+D$124*E$126*E128+D$124*F$126*F128+G$124*G$126*G128+G$124*H$126*H128+I$124*I$126*I128+I$124*J$126*J128+K$124*K$126*K128+K$124*L$126*L128+M$124*M$126*M128+M$124*N$126*N128+O$124*O$126*O128+O$124*P$126*P128</f>
        <v>0.2500776972330564</v>
      </c>
      <c r="R128" s="24" t="s">
        <v>113</v>
      </c>
    </row>
    <row r="129" spans="2:18" x14ac:dyDescent="0.15">
      <c r="B129" s="89" t="s">
        <v>94</v>
      </c>
      <c r="C129" s="90"/>
      <c r="D129" s="42">
        <v>0.6563041363397043</v>
      </c>
      <c r="E129" s="42">
        <v>0.62735238018277206</v>
      </c>
      <c r="F129" s="42">
        <v>0.65645945090999624</v>
      </c>
      <c r="G129" s="42">
        <v>0.59146480710377247</v>
      </c>
      <c r="H129" s="42">
        <v>0.31278041994828149</v>
      </c>
      <c r="I129" s="42">
        <v>0.6410801461630169</v>
      </c>
      <c r="J129" s="42">
        <v>0.6581587990549651</v>
      </c>
      <c r="K129" s="42">
        <v>0.30241220605223024</v>
      </c>
      <c r="L129" s="42">
        <v>0.13565793228873771</v>
      </c>
      <c r="M129" s="42">
        <v>9.5521511690991504E-2</v>
      </c>
      <c r="N129" s="42">
        <v>0.18868263597263768</v>
      </c>
      <c r="O129" s="42">
        <v>0.59379605434873683</v>
      </c>
      <c r="P129" s="42">
        <v>0.2814236013675171</v>
      </c>
      <c r="Q129" s="42">
        <f t="shared" si="34"/>
        <v>0.48761866707491269</v>
      </c>
      <c r="R129" s="24" t="s">
        <v>111</v>
      </c>
    </row>
    <row r="130" spans="2:18" x14ac:dyDescent="0.15"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</row>
    <row r="131" spans="2:18" x14ac:dyDescent="0.15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</row>
    <row r="132" spans="2:18" x14ac:dyDescent="0.15">
      <c r="B132" s="39" t="s">
        <v>125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</row>
    <row r="133" spans="2:18" x14ac:dyDescent="0.15">
      <c r="B133" s="103" t="s">
        <v>76</v>
      </c>
      <c r="C133" s="104"/>
      <c r="D133" s="107" t="s">
        <v>52</v>
      </c>
      <c r="E133" s="108"/>
      <c r="F133" s="92"/>
      <c r="G133" s="91" t="s">
        <v>53</v>
      </c>
      <c r="H133" s="92"/>
      <c r="I133" s="91" t="s">
        <v>54</v>
      </c>
      <c r="J133" s="92"/>
      <c r="K133" s="91" t="s">
        <v>55</v>
      </c>
      <c r="L133" s="92"/>
      <c r="M133" s="91" t="s">
        <v>56</v>
      </c>
      <c r="N133" s="92"/>
      <c r="O133" s="91" t="s">
        <v>57</v>
      </c>
      <c r="P133" s="92"/>
      <c r="Q133" s="93" t="s">
        <v>2</v>
      </c>
    </row>
    <row r="134" spans="2:18" x14ac:dyDescent="0.15">
      <c r="B134" s="105"/>
      <c r="C134" s="106"/>
      <c r="D134" s="96">
        <f>D24+D24/(D24+G24+I24+K24+M24)*0.05</f>
        <v>0.32524589323271802</v>
      </c>
      <c r="E134" s="97"/>
      <c r="F134" s="98"/>
      <c r="G134" s="96">
        <f>G24+G24/(D24+G24+I24+K24+M24)*0.05</f>
        <v>0.262933183423397</v>
      </c>
      <c r="H134" s="98"/>
      <c r="I134" s="96">
        <f>I24+I24/(D24+G24+I24+K24+M24)*0.05</f>
        <v>0.23801769113379767</v>
      </c>
      <c r="J134" s="98"/>
      <c r="K134" s="96">
        <f>K24+K24/(D24+G24+I24+K24+M24)*0.05</f>
        <v>9.0573293964762491E-2</v>
      </c>
      <c r="L134" s="98"/>
      <c r="M134" s="96">
        <f>M24+M24/(D24+G24+I24+K24+M24)*0.05</f>
        <v>5.178867578478924E-2</v>
      </c>
      <c r="N134" s="98"/>
      <c r="O134" s="96">
        <f>O24-0.05</f>
        <v>3.1441262460535552E-2</v>
      </c>
      <c r="P134" s="98"/>
      <c r="Q134" s="94"/>
    </row>
    <row r="135" spans="2:18" x14ac:dyDescent="0.15">
      <c r="B135" s="99" t="s">
        <v>77</v>
      </c>
      <c r="C135" s="101" t="s">
        <v>78</v>
      </c>
      <c r="D135" s="40" t="s">
        <v>79</v>
      </c>
      <c r="E135" s="40" t="s">
        <v>80</v>
      </c>
      <c r="F135" s="40" t="s">
        <v>81</v>
      </c>
      <c r="G135" s="40" t="s">
        <v>82</v>
      </c>
      <c r="H135" s="40" t="s">
        <v>83</v>
      </c>
      <c r="I135" s="40" t="s">
        <v>84</v>
      </c>
      <c r="J135" s="40" t="s">
        <v>85</v>
      </c>
      <c r="K135" s="40" t="s">
        <v>86</v>
      </c>
      <c r="L135" s="40" t="s">
        <v>87</v>
      </c>
      <c r="M135" s="40" t="s">
        <v>88</v>
      </c>
      <c r="N135" s="40" t="s">
        <v>89</v>
      </c>
      <c r="O135" s="40" t="s">
        <v>90</v>
      </c>
      <c r="P135" s="40" t="s">
        <v>91</v>
      </c>
      <c r="Q135" s="94"/>
    </row>
    <row r="136" spans="2:18" x14ac:dyDescent="0.15">
      <c r="B136" s="100"/>
      <c r="C136" s="102"/>
      <c r="D136" s="41">
        <v>0.13761856041853018</v>
      </c>
      <c r="E136" s="41">
        <v>0.25075297387297762</v>
      </c>
      <c r="F136" s="41">
        <v>0.61162846570849216</v>
      </c>
      <c r="G136" s="41">
        <v>0.35497237943749815</v>
      </c>
      <c r="H136" s="41">
        <v>0.64502762056250185</v>
      </c>
      <c r="I136" s="41">
        <v>0.28849937007768311</v>
      </c>
      <c r="J136" s="41">
        <v>0.71150062992231689</v>
      </c>
      <c r="K136" s="41">
        <v>0.5</v>
      </c>
      <c r="L136" s="41">
        <v>0.5</v>
      </c>
      <c r="M136" s="41">
        <v>0.5</v>
      </c>
      <c r="N136" s="41">
        <v>0.5</v>
      </c>
      <c r="O136" s="41">
        <v>0.30400417717777917</v>
      </c>
      <c r="P136" s="41">
        <v>0.69599582282222083</v>
      </c>
      <c r="Q136" s="95"/>
    </row>
    <row r="137" spans="2:18" x14ac:dyDescent="0.15">
      <c r="B137" s="89" t="s">
        <v>92</v>
      </c>
      <c r="C137" s="90"/>
      <c r="D137" s="42">
        <v>8.3025647598063954E-2</v>
      </c>
      <c r="E137" s="42">
        <v>0.12610341379772336</v>
      </c>
      <c r="F137" s="42">
        <v>0.19740468098012701</v>
      </c>
      <c r="G137" s="42">
        <v>0.13938923184691226</v>
      </c>
      <c r="H137" s="42">
        <v>0.5682343752986817</v>
      </c>
      <c r="I137" s="42">
        <v>8.7608755972138519E-2</v>
      </c>
      <c r="J137" s="42">
        <v>9.3615492913303219E-2</v>
      </c>
      <c r="K137" s="42">
        <v>0.60621070569609381</v>
      </c>
      <c r="L137" s="42">
        <v>0.58291846634374522</v>
      </c>
      <c r="M137" s="42">
        <v>0.32825987716230431</v>
      </c>
      <c r="N137" s="42">
        <v>0.44588966508077682</v>
      </c>
      <c r="O137" s="42">
        <v>0.10541847202914011</v>
      </c>
      <c r="P137" s="42">
        <v>0.13565793228873774</v>
      </c>
      <c r="Q137" s="42">
        <f>D$134*D$136*D137+D$134*E$136*E137+D$134*F$136*F137+G$134*G$136*G137+G$134*H$136*H137+I$134*I$136*I137+I$134*J$136*J137+K$134*K$136*K137+K$134*L$136*L137+M$134*M$136*M137+M$134*N$136*N137+O$134*O$136*O137+O$134*P$136*P137</f>
        <v>0.26239588663023466</v>
      </c>
      <c r="R137" s="24" t="s">
        <v>112</v>
      </c>
    </row>
    <row r="138" spans="2:18" x14ac:dyDescent="0.15">
      <c r="B138" s="89" t="s">
        <v>93</v>
      </c>
      <c r="C138" s="90"/>
      <c r="D138" s="42">
        <v>0.26067021606223184</v>
      </c>
      <c r="E138" s="42">
        <v>0.24654420601950452</v>
      </c>
      <c r="F138" s="42">
        <v>0.14613586810987678</v>
      </c>
      <c r="G138" s="42">
        <v>0.26914596104931515</v>
      </c>
      <c r="H138" s="42">
        <v>0.11898520475303685</v>
      </c>
      <c r="I138" s="42">
        <v>0.27131109786484453</v>
      </c>
      <c r="J138" s="42">
        <v>0.24822570803173158</v>
      </c>
      <c r="K138" s="42">
        <v>9.1377088251675953E-2</v>
      </c>
      <c r="L138" s="42">
        <v>0.28142360136751704</v>
      </c>
      <c r="M138" s="42">
        <v>0.57621861114670425</v>
      </c>
      <c r="N138" s="42">
        <v>0.3654276989465855</v>
      </c>
      <c r="O138" s="42">
        <v>0.30078547362212316</v>
      </c>
      <c r="P138" s="42">
        <v>0.58291846634374522</v>
      </c>
      <c r="Q138" s="42">
        <f t="shared" ref="Q138:Q139" si="35">D$134*D$136*D138+D$134*E$136*E138+D$134*F$136*F138+G$134*G$136*G138+G$134*H$136*H138+I$134*I$136*I138+I$134*J$136*J138+K$134*K$136*K138+K$134*L$136*L138+M$134*M$136*M138+M$134*N$136*N138+O$134*O$136*O138+O$134*P$136*P138</f>
        <v>0.22371036415599782</v>
      </c>
      <c r="R138" s="24" t="s">
        <v>113</v>
      </c>
    </row>
    <row r="139" spans="2:18" x14ac:dyDescent="0.15">
      <c r="B139" s="89" t="s">
        <v>94</v>
      </c>
      <c r="C139" s="90"/>
      <c r="D139" s="42">
        <v>0.6563041363397043</v>
      </c>
      <c r="E139" s="42">
        <v>0.62735238018277206</v>
      </c>
      <c r="F139" s="42">
        <v>0.65645945090999624</v>
      </c>
      <c r="G139" s="42">
        <v>0.59146480710377247</v>
      </c>
      <c r="H139" s="42">
        <v>0.31278041994828149</v>
      </c>
      <c r="I139" s="42">
        <v>0.6410801461630169</v>
      </c>
      <c r="J139" s="42">
        <v>0.6581587990549651</v>
      </c>
      <c r="K139" s="42">
        <v>0.30241220605223024</v>
      </c>
      <c r="L139" s="42">
        <v>0.13565793228873771</v>
      </c>
      <c r="M139" s="42">
        <v>9.5521511690991504E-2</v>
      </c>
      <c r="N139" s="42">
        <v>0.18868263597263768</v>
      </c>
      <c r="O139" s="42">
        <v>0.59379605434873683</v>
      </c>
      <c r="P139" s="42">
        <v>0.2814236013675171</v>
      </c>
      <c r="Q139" s="42">
        <f t="shared" si="35"/>
        <v>0.51389374921376751</v>
      </c>
      <c r="R139" s="24" t="s">
        <v>111</v>
      </c>
    </row>
    <row r="140" spans="2:18" x14ac:dyDescent="0.15"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</row>
    <row r="141" spans="2:18" x14ac:dyDescent="0.15"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</row>
    <row r="142" spans="2:18" x14ac:dyDescent="0.15">
      <c r="B142" s="39" t="s">
        <v>126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</row>
    <row r="143" spans="2:18" x14ac:dyDescent="0.15">
      <c r="B143" s="103" t="s">
        <v>76</v>
      </c>
      <c r="C143" s="104"/>
      <c r="D143" s="107" t="s">
        <v>52</v>
      </c>
      <c r="E143" s="108"/>
      <c r="F143" s="92"/>
      <c r="G143" s="91" t="s">
        <v>53</v>
      </c>
      <c r="H143" s="92"/>
      <c r="I143" s="91" t="s">
        <v>54</v>
      </c>
      <c r="J143" s="92"/>
      <c r="K143" s="91" t="s">
        <v>55</v>
      </c>
      <c r="L143" s="92"/>
      <c r="M143" s="91" t="s">
        <v>56</v>
      </c>
      <c r="N143" s="92"/>
      <c r="O143" s="91" t="s">
        <v>57</v>
      </c>
      <c r="P143" s="92"/>
      <c r="Q143" s="93" t="s">
        <v>2</v>
      </c>
    </row>
    <row r="144" spans="2:18" x14ac:dyDescent="0.15">
      <c r="B144" s="105"/>
      <c r="C144" s="106"/>
      <c r="D144" s="96">
        <f>D24-D24/(D24+G24+I24+K24+M24)*0.05</f>
        <v>0.29166549375596806</v>
      </c>
      <c r="E144" s="97"/>
      <c r="F144" s="98"/>
      <c r="G144" s="96">
        <f>G24-G24/(D24+G24+I24+K24+M24)*0.05</f>
        <v>0.23578633385892403</v>
      </c>
      <c r="H144" s="98"/>
      <c r="I144" s="96">
        <f>I24-I24/(D24+G24+I24+K24+M24)*0.05</f>
        <v>0.21344327123455026</v>
      </c>
      <c r="J144" s="98"/>
      <c r="K144" s="96">
        <f>K24-K24/(D24+G24+I24+K24+M24)*0.05</f>
        <v>8.1221946394985173E-2</v>
      </c>
      <c r="L144" s="98"/>
      <c r="M144" s="96">
        <f>M24-M24/(D24+G24+I24+K24+M24)*0.05</f>
        <v>4.6441692295036863E-2</v>
      </c>
      <c r="N144" s="98"/>
      <c r="O144" s="96">
        <f>O24+0.05</f>
        <v>0.13144126246053556</v>
      </c>
      <c r="P144" s="98"/>
      <c r="Q144" s="94"/>
    </row>
    <row r="145" spans="2:18" x14ac:dyDescent="0.15">
      <c r="B145" s="99" t="s">
        <v>77</v>
      </c>
      <c r="C145" s="101" t="s">
        <v>78</v>
      </c>
      <c r="D145" s="40" t="s">
        <v>79</v>
      </c>
      <c r="E145" s="40" t="s">
        <v>80</v>
      </c>
      <c r="F145" s="40" t="s">
        <v>81</v>
      </c>
      <c r="G145" s="40" t="s">
        <v>82</v>
      </c>
      <c r="H145" s="40" t="s">
        <v>83</v>
      </c>
      <c r="I145" s="40" t="s">
        <v>84</v>
      </c>
      <c r="J145" s="40" t="s">
        <v>85</v>
      </c>
      <c r="K145" s="40" t="s">
        <v>86</v>
      </c>
      <c r="L145" s="40" t="s">
        <v>87</v>
      </c>
      <c r="M145" s="40" t="s">
        <v>88</v>
      </c>
      <c r="N145" s="40" t="s">
        <v>89</v>
      </c>
      <c r="O145" s="40" t="s">
        <v>90</v>
      </c>
      <c r="P145" s="40" t="s">
        <v>91</v>
      </c>
      <c r="Q145" s="94"/>
    </row>
    <row r="146" spans="2:18" x14ac:dyDescent="0.15">
      <c r="B146" s="100"/>
      <c r="C146" s="102"/>
      <c r="D146" s="41">
        <v>0.13761856041853018</v>
      </c>
      <c r="E146" s="41">
        <v>0.25075297387297762</v>
      </c>
      <c r="F146" s="41">
        <v>0.61162846570849216</v>
      </c>
      <c r="G146" s="41">
        <v>0.35497237943749815</v>
      </c>
      <c r="H146" s="41">
        <v>0.64502762056250185</v>
      </c>
      <c r="I146" s="41">
        <v>0.28849937007768311</v>
      </c>
      <c r="J146" s="41">
        <v>0.71150062992231689</v>
      </c>
      <c r="K146" s="41">
        <v>0.5</v>
      </c>
      <c r="L146" s="41">
        <v>0.5</v>
      </c>
      <c r="M146" s="41">
        <v>0.5</v>
      </c>
      <c r="N146" s="41">
        <v>0.5</v>
      </c>
      <c r="O146" s="41">
        <v>0.30400417717777917</v>
      </c>
      <c r="P146" s="41">
        <v>0.69599582282222083</v>
      </c>
      <c r="Q146" s="95"/>
    </row>
    <row r="147" spans="2:18" x14ac:dyDescent="0.15">
      <c r="B147" s="89" t="s">
        <v>92</v>
      </c>
      <c r="C147" s="90"/>
      <c r="D147" s="42">
        <v>8.3025647598063954E-2</v>
      </c>
      <c r="E147" s="42">
        <v>0.12610341379772336</v>
      </c>
      <c r="F147" s="42">
        <v>0.19740468098012701</v>
      </c>
      <c r="G147" s="42">
        <v>0.13938923184691226</v>
      </c>
      <c r="H147" s="42">
        <v>0.5682343752986817</v>
      </c>
      <c r="I147" s="42">
        <v>8.7608755972138519E-2</v>
      </c>
      <c r="J147" s="42">
        <v>9.3615492913303219E-2</v>
      </c>
      <c r="K147" s="42">
        <v>0.60621070569609381</v>
      </c>
      <c r="L147" s="42">
        <v>0.58291846634374522</v>
      </c>
      <c r="M147" s="42">
        <v>0.32825987716230431</v>
      </c>
      <c r="N147" s="42">
        <v>0.44588966508077682</v>
      </c>
      <c r="O147" s="42">
        <v>0.10541847202914011</v>
      </c>
      <c r="P147" s="42">
        <v>0.13565793228873774</v>
      </c>
      <c r="Q147" s="42">
        <f>D$144*D$146*D147+D$144*E$146*E147+D$144*F$146*F147+G$144*G$146*G147+G$144*H$146*H147+I$144*I$146*I147+I$144*J$146*J147+K$144*K$146*K147+K$144*L$146*L147+M$144*M$146*M147+M$144*N$146*N147+O$144*O$146*O147+O$144*P$146*P147</f>
        <v>0.24836154144211153</v>
      </c>
      <c r="R147" s="24" t="s">
        <v>113</v>
      </c>
    </row>
    <row r="148" spans="2:18" x14ac:dyDescent="0.15">
      <c r="B148" s="89" t="s">
        <v>93</v>
      </c>
      <c r="C148" s="90"/>
      <c r="D148" s="42">
        <v>0.26067021606223184</v>
      </c>
      <c r="E148" s="42">
        <v>0.24654420601950452</v>
      </c>
      <c r="F148" s="42">
        <v>0.14613586810987678</v>
      </c>
      <c r="G148" s="42">
        <v>0.26914596104931515</v>
      </c>
      <c r="H148" s="42">
        <v>0.11898520475303685</v>
      </c>
      <c r="I148" s="42">
        <v>0.27131109786484453</v>
      </c>
      <c r="J148" s="42">
        <v>0.24822570803173158</v>
      </c>
      <c r="K148" s="42">
        <v>9.1377088251675953E-2</v>
      </c>
      <c r="L148" s="42">
        <v>0.28142360136751704</v>
      </c>
      <c r="M148" s="42">
        <v>0.57621861114670425</v>
      </c>
      <c r="N148" s="42">
        <v>0.3654276989465855</v>
      </c>
      <c r="O148" s="42">
        <v>0.30078547362212316</v>
      </c>
      <c r="P148" s="42">
        <v>0.58291846634374522</v>
      </c>
      <c r="Q148" s="42">
        <f>D$144*D$146*D148+D$144*E$146*E148+D$144*F$146*F148+G$144*G$146*G148+G$144*H$146*H148+I$144*I$146*I148+I$144*J$146*J148+K$144*K$146*K148+K$144*L$146*L148+M$144*M$146*M148+M$144*N$146*N148+O$144*O$146*O148+O$144*P$146*P148</f>
        <v>0.25194184700600564</v>
      </c>
      <c r="R148" s="24" t="s">
        <v>112</v>
      </c>
    </row>
    <row r="149" spans="2:18" x14ac:dyDescent="0.15">
      <c r="B149" s="89" t="s">
        <v>94</v>
      </c>
      <c r="C149" s="90"/>
      <c r="D149" s="42">
        <v>0.6563041363397043</v>
      </c>
      <c r="E149" s="42">
        <v>0.62735238018277206</v>
      </c>
      <c r="F149" s="42">
        <v>0.65645945090999624</v>
      </c>
      <c r="G149" s="42">
        <v>0.59146480710377247</v>
      </c>
      <c r="H149" s="42">
        <v>0.31278041994828149</v>
      </c>
      <c r="I149" s="42">
        <v>0.6410801461630169</v>
      </c>
      <c r="J149" s="42">
        <v>0.6581587990549651</v>
      </c>
      <c r="K149" s="42">
        <v>0.30241220605223024</v>
      </c>
      <c r="L149" s="42">
        <v>0.13565793228873771</v>
      </c>
      <c r="M149" s="42">
        <v>9.5521511690991504E-2</v>
      </c>
      <c r="N149" s="42">
        <v>0.18868263597263768</v>
      </c>
      <c r="O149" s="42">
        <v>0.59379605434873683</v>
      </c>
      <c r="P149" s="42">
        <v>0.2814236013675171</v>
      </c>
      <c r="Q149" s="42">
        <f>D$144*D$146*D149+D$144*E$146*E149+D$144*F$146*F149+G$144*G$146*G149+G$144*H$146*H149+I$144*I$146*I149+I$144*J$146*J149+K$144*K$146*K149+K$144*L$146*L149+M$144*M$146*M149+M$144*N$146*N149+O$144*O$146*O149+O$144*P$146*P149</f>
        <v>0.49969661155188277</v>
      </c>
      <c r="R149" s="24" t="s">
        <v>111</v>
      </c>
    </row>
  </sheetData>
  <mergeCells count="257">
    <mergeCell ref="B85:B86"/>
    <mergeCell ref="C85:C86"/>
    <mergeCell ref="B87:C87"/>
    <mergeCell ref="B88:C88"/>
    <mergeCell ref="B89:C89"/>
    <mergeCell ref="M83:N83"/>
    <mergeCell ref="O83:P83"/>
    <mergeCell ref="Q83:Q86"/>
    <mergeCell ref="D84:F84"/>
    <mergeCell ref="G84:H84"/>
    <mergeCell ref="I84:J84"/>
    <mergeCell ref="K84:L84"/>
    <mergeCell ref="M84:N84"/>
    <mergeCell ref="O84:P84"/>
    <mergeCell ref="B83:C84"/>
    <mergeCell ref="D83:F83"/>
    <mergeCell ref="G83:H83"/>
    <mergeCell ref="I83:J83"/>
    <mergeCell ref="K83:L83"/>
    <mergeCell ref="B75:B76"/>
    <mergeCell ref="C75:C76"/>
    <mergeCell ref="B77:C77"/>
    <mergeCell ref="B78:C78"/>
    <mergeCell ref="B79:C79"/>
    <mergeCell ref="M73:N73"/>
    <mergeCell ref="O73:P73"/>
    <mergeCell ref="Q73:Q76"/>
    <mergeCell ref="D74:F74"/>
    <mergeCell ref="G74:H74"/>
    <mergeCell ref="I74:J74"/>
    <mergeCell ref="K74:L74"/>
    <mergeCell ref="M74:N74"/>
    <mergeCell ref="O74:P74"/>
    <mergeCell ref="B73:C74"/>
    <mergeCell ref="D73:F73"/>
    <mergeCell ref="G73:H73"/>
    <mergeCell ref="I73:J73"/>
    <mergeCell ref="K73:L73"/>
    <mergeCell ref="B65:B66"/>
    <mergeCell ref="C65:C66"/>
    <mergeCell ref="B67:C67"/>
    <mergeCell ref="B68:C68"/>
    <mergeCell ref="B69:C69"/>
    <mergeCell ref="M63:N63"/>
    <mergeCell ref="O63:P63"/>
    <mergeCell ref="Q63:Q66"/>
    <mergeCell ref="D64:F64"/>
    <mergeCell ref="G64:H64"/>
    <mergeCell ref="I64:J64"/>
    <mergeCell ref="K64:L64"/>
    <mergeCell ref="M64:N64"/>
    <mergeCell ref="O64:P64"/>
    <mergeCell ref="B63:C64"/>
    <mergeCell ref="D63:F63"/>
    <mergeCell ref="G63:H63"/>
    <mergeCell ref="I63:J63"/>
    <mergeCell ref="K63:L63"/>
    <mergeCell ref="B55:B56"/>
    <mergeCell ref="C55:C56"/>
    <mergeCell ref="B57:C57"/>
    <mergeCell ref="B58:C58"/>
    <mergeCell ref="B59:C59"/>
    <mergeCell ref="K53:L53"/>
    <mergeCell ref="M53:N53"/>
    <mergeCell ref="O53:P53"/>
    <mergeCell ref="Q53:Q56"/>
    <mergeCell ref="D54:F54"/>
    <mergeCell ref="G54:H54"/>
    <mergeCell ref="I54:J54"/>
    <mergeCell ref="K54:L54"/>
    <mergeCell ref="M54:N54"/>
    <mergeCell ref="O54:P54"/>
    <mergeCell ref="B49:C49"/>
    <mergeCell ref="B53:C54"/>
    <mergeCell ref="D53:F53"/>
    <mergeCell ref="G53:H53"/>
    <mergeCell ref="I53:J53"/>
    <mergeCell ref="Q43:Q46"/>
    <mergeCell ref="D44:F44"/>
    <mergeCell ref="G44:H44"/>
    <mergeCell ref="I44:J44"/>
    <mergeCell ref="K44:L44"/>
    <mergeCell ref="M44:N44"/>
    <mergeCell ref="O44:P44"/>
    <mergeCell ref="G43:H43"/>
    <mergeCell ref="I43:J43"/>
    <mergeCell ref="K43:L43"/>
    <mergeCell ref="M43:N43"/>
    <mergeCell ref="O43:P43"/>
    <mergeCell ref="B43:C44"/>
    <mergeCell ref="D43:F43"/>
    <mergeCell ref="B45:B46"/>
    <mergeCell ref="C45:C46"/>
    <mergeCell ref="B47:C47"/>
    <mergeCell ref="B48:C48"/>
    <mergeCell ref="B35:B36"/>
    <mergeCell ref="C35:C36"/>
    <mergeCell ref="B37:C37"/>
    <mergeCell ref="B38:C38"/>
    <mergeCell ref="B39:C39"/>
    <mergeCell ref="M33:N33"/>
    <mergeCell ref="O33:P33"/>
    <mergeCell ref="Q33:Q36"/>
    <mergeCell ref="D34:F34"/>
    <mergeCell ref="G34:H34"/>
    <mergeCell ref="I34:J34"/>
    <mergeCell ref="K34:L34"/>
    <mergeCell ref="M34:N34"/>
    <mergeCell ref="O34:P34"/>
    <mergeCell ref="B33:C34"/>
    <mergeCell ref="D33:F33"/>
    <mergeCell ref="G33:H33"/>
    <mergeCell ref="I33:J33"/>
    <mergeCell ref="K33:L33"/>
    <mergeCell ref="B25:B26"/>
    <mergeCell ref="C25:C26"/>
    <mergeCell ref="B27:C27"/>
    <mergeCell ref="B28:C28"/>
    <mergeCell ref="B29:C29"/>
    <mergeCell ref="B23:C24"/>
    <mergeCell ref="D23:F23"/>
    <mergeCell ref="G23:H23"/>
    <mergeCell ref="I23:J23"/>
    <mergeCell ref="K23:L23"/>
    <mergeCell ref="D24:F24"/>
    <mergeCell ref="G24:H24"/>
    <mergeCell ref="I24:J24"/>
    <mergeCell ref="K24:L24"/>
    <mergeCell ref="Q23:Q26"/>
    <mergeCell ref="M24:N24"/>
    <mergeCell ref="E21:G21"/>
    <mergeCell ref="O24:P24"/>
    <mergeCell ref="M23:N23"/>
    <mergeCell ref="O23:P23"/>
    <mergeCell ref="A3:A4"/>
    <mergeCell ref="A11:A14"/>
    <mergeCell ref="B11:C11"/>
    <mergeCell ref="D11:F11"/>
    <mergeCell ref="G11:G14"/>
    <mergeCell ref="B12:C12"/>
    <mergeCell ref="D12:F12"/>
    <mergeCell ref="B3:C3"/>
    <mergeCell ref="D3:F3"/>
    <mergeCell ref="O93:P93"/>
    <mergeCell ref="Q93:Q96"/>
    <mergeCell ref="D94:F94"/>
    <mergeCell ref="G94:H94"/>
    <mergeCell ref="I94:J94"/>
    <mergeCell ref="K94:L94"/>
    <mergeCell ref="M94:N94"/>
    <mergeCell ref="O94:P94"/>
    <mergeCell ref="B95:B96"/>
    <mergeCell ref="C95:C96"/>
    <mergeCell ref="B97:C97"/>
    <mergeCell ref="B98:C98"/>
    <mergeCell ref="B99:C99"/>
    <mergeCell ref="B93:C94"/>
    <mergeCell ref="D93:F93"/>
    <mergeCell ref="G93:H93"/>
    <mergeCell ref="I93:J93"/>
    <mergeCell ref="K93:L93"/>
    <mergeCell ref="M93:N93"/>
    <mergeCell ref="B103:C104"/>
    <mergeCell ref="D103:F103"/>
    <mergeCell ref="G103:H103"/>
    <mergeCell ref="I103:J103"/>
    <mergeCell ref="K103:L103"/>
    <mergeCell ref="M103:N103"/>
    <mergeCell ref="O103:P103"/>
    <mergeCell ref="Q103:Q106"/>
    <mergeCell ref="D104:F104"/>
    <mergeCell ref="G104:H104"/>
    <mergeCell ref="I104:J104"/>
    <mergeCell ref="K104:L104"/>
    <mergeCell ref="M104:N104"/>
    <mergeCell ref="O104:P104"/>
    <mergeCell ref="B105:B106"/>
    <mergeCell ref="C105:C106"/>
    <mergeCell ref="B107:C107"/>
    <mergeCell ref="B108:C108"/>
    <mergeCell ref="B109:C109"/>
    <mergeCell ref="B113:C114"/>
    <mergeCell ref="D113:F113"/>
    <mergeCell ref="G113:H113"/>
    <mergeCell ref="I113:J113"/>
    <mergeCell ref="K113:L113"/>
    <mergeCell ref="M113:N113"/>
    <mergeCell ref="O113:P113"/>
    <mergeCell ref="Q113:Q116"/>
    <mergeCell ref="D114:F114"/>
    <mergeCell ref="G114:H114"/>
    <mergeCell ref="I114:J114"/>
    <mergeCell ref="K114:L114"/>
    <mergeCell ref="M114:N114"/>
    <mergeCell ref="O114:P114"/>
    <mergeCell ref="B115:B116"/>
    <mergeCell ref="C115:C116"/>
    <mergeCell ref="B117:C117"/>
    <mergeCell ref="B118:C118"/>
    <mergeCell ref="B119:C119"/>
    <mergeCell ref="B123:C124"/>
    <mergeCell ref="D123:F123"/>
    <mergeCell ref="G123:H123"/>
    <mergeCell ref="I123:J123"/>
    <mergeCell ref="K123:L123"/>
    <mergeCell ref="M123:N123"/>
    <mergeCell ref="O123:P123"/>
    <mergeCell ref="Q123:Q126"/>
    <mergeCell ref="D124:F124"/>
    <mergeCell ref="G124:H124"/>
    <mergeCell ref="I124:J124"/>
    <mergeCell ref="K124:L124"/>
    <mergeCell ref="M124:N124"/>
    <mergeCell ref="O124:P124"/>
    <mergeCell ref="B125:B126"/>
    <mergeCell ref="C125:C126"/>
    <mergeCell ref="B127:C127"/>
    <mergeCell ref="B128:C128"/>
    <mergeCell ref="B129:C129"/>
    <mergeCell ref="B133:C134"/>
    <mergeCell ref="D133:F133"/>
    <mergeCell ref="G133:H133"/>
    <mergeCell ref="I133:J133"/>
    <mergeCell ref="K133:L133"/>
    <mergeCell ref="M133:N133"/>
    <mergeCell ref="O133:P133"/>
    <mergeCell ref="Q133:Q136"/>
    <mergeCell ref="D134:F134"/>
    <mergeCell ref="G134:H134"/>
    <mergeCell ref="I134:J134"/>
    <mergeCell ref="K134:L134"/>
    <mergeCell ref="M134:N134"/>
    <mergeCell ref="O134:P134"/>
    <mergeCell ref="B135:B136"/>
    <mergeCell ref="C135:C136"/>
    <mergeCell ref="B137:C137"/>
    <mergeCell ref="B138:C138"/>
    <mergeCell ref="B139:C139"/>
    <mergeCell ref="B143:C144"/>
    <mergeCell ref="D143:F143"/>
    <mergeCell ref="G143:H143"/>
    <mergeCell ref="I143:J143"/>
    <mergeCell ref="K143:L143"/>
    <mergeCell ref="M143:N143"/>
    <mergeCell ref="B147:C147"/>
    <mergeCell ref="B148:C148"/>
    <mergeCell ref="B149:C149"/>
    <mergeCell ref="O143:P143"/>
    <mergeCell ref="Q143:Q146"/>
    <mergeCell ref="D144:F144"/>
    <mergeCell ref="G144:H144"/>
    <mergeCell ref="I144:J144"/>
    <mergeCell ref="K144:L144"/>
    <mergeCell ref="M144:N144"/>
    <mergeCell ref="O144:P144"/>
    <mergeCell ref="B145:B146"/>
    <mergeCell ref="C145:C146"/>
  </mergeCells>
  <pageMargins left="0.7" right="0.7" top="0.75" bottom="0.75" header="0.3" footer="0.3"/>
  <pageSetup paperSize="9" orientation="portrait" verticalDpi="597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3F55-C798-4F45-BEE1-669926CA74B5}">
  <dimension ref="B3:T33"/>
  <sheetViews>
    <sheetView zoomScale="116" zoomScaleNormal="116" workbookViewId="0">
      <selection activeCell="N7" sqref="N7"/>
    </sheetView>
  </sheetViews>
  <sheetFormatPr baseColWidth="10" defaultColWidth="8.83203125" defaultRowHeight="15" x14ac:dyDescent="0.2"/>
  <sheetData>
    <row r="3" spans="2:20" x14ac:dyDescent="0.2">
      <c r="B3" s="8"/>
      <c r="C3" s="8">
        <f>B4</f>
        <v>3</v>
      </c>
      <c r="D3" s="8">
        <f>B5</f>
        <v>2</v>
      </c>
      <c r="E3" s="8">
        <f>B6</f>
        <v>1</v>
      </c>
      <c r="G3" s="8"/>
      <c r="H3" s="8">
        <f>G4</f>
        <v>3</v>
      </c>
      <c r="I3" s="8">
        <f>G5</f>
        <v>2</v>
      </c>
      <c r="J3" s="8">
        <f>G6</f>
        <v>1</v>
      </c>
      <c r="L3" s="8"/>
      <c r="M3" s="8">
        <f>L4</f>
        <v>3</v>
      </c>
      <c r="N3" s="8">
        <f>L5</f>
        <v>2</v>
      </c>
      <c r="O3" s="8">
        <f>L6</f>
        <v>1</v>
      </c>
      <c r="Q3" s="8"/>
      <c r="R3" s="8">
        <f>Q4</f>
        <v>3</v>
      </c>
      <c r="S3" s="8">
        <f>Q5</f>
        <v>2</v>
      </c>
      <c r="T3" s="8">
        <f>Q6</f>
        <v>1</v>
      </c>
    </row>
    <row r="4" spans="2:20" x14ac:dyDescent="0.2">
      <c r="B4" s="9">
        <v>3</v>
      </c>
      <c r="C4" s="8">
        <v>1</v>
      </c>
      <c r="D4" s="8">
        <f>1/3</f>
        <v>0.33333333333333331</v>
      </c>
      <c r="E4" s="8">
        <f>1/5</f>
        <v>0.2</v>
      </c>
      <c r="G4" s="8">
        <f>B4</f>
        <v>3</v>
      </c>
      <c r="H4" s="8">
        <v>1</v>
      </c>
      <c r="I4" s="8">
        <v>3</v>
      </c>
      <c r="J4" s="8">
        <f>1/3</f>
        <v>0.33333333333333331</v>
      </c>
      <c r="L4" s="8">
        <f>G4</f>
        <v>3</v>
      </c>
      <c r="M4" s="8">
        <v>1</v>
      </c>
      <c r="N4" s="8">
        <v>3</v>
      </c>
      <c r="O4" s="8">
        <f>1/3</f>
        <v>0.33333333333333331</v>
      </c>
      <c r="Q4" s="8">
        <f>L4</f>
        <v>3</v>
      </c>
      <c r="R4" s="8">
        <f>GEOMEAN(C4,H4,M4)</f>
        <v>1</v>
      </c>
      <c r="S4" s="8">
        <f t="shared" ref="S4:T6" si="0">GEOMEAN(D4,I4,N4)</f>
        <v>1.4422495703074083</v>
      </c>
      <c r="T4" s="8">
        <f t="shared" si="0"/>
        <v>0.28114422176724974</v>
      </c>
    </row>
    <row r="5" spans="2:20" x14ac:dyDescent="0.2">
      <c r="B5" s="9">
        <v>2</v>
      </c>
      <c r="C5" s="8">
        <v>3</v>
      </c>
      <c r="D5" s="8">
        <v>1</v>
      </c>
      <c r="E5" s="8">
        <f>1/3</f>
        <v>0.33333333333333331</v>
      </c>
      <c r="G5" s="8">
        <f t="shared" ref="G5:G6" si="1">B5</f>
        <v>2</v>
      </c>
      <c r="H5" s="8">
        <f>1/3</f>
        <v>0.33333333333333331</v>
      </c>
      <c r="I5" s="8">
        <v>1</v>
      </c>
      <c r="J5" s="8">
        <f>1/5</f>
        <v>0.2</v>
      </c>
      <c r="L5" s="8">
        <f t="shared" ref="L5:L6" si="2">G5</f>
        <v>2</v>
      </c>
      <c r="M5" s="8">
        <f>1/3</f>
        <v>0.33333333333333331</v>
      </c>
      <c r="N5" s="8">
        <v>1</v>
      </c>
      <c r="O5" s="8">
        <f>1/5</f>
        <v>0.2</v>
      </c>
      <c r="Q5" s="8">
        <f t="shared" ref="Q5:Q6" si="3">L5</f>
        <v>2</v>
      </c>
      <c r="R5" s="8">
        <f t="shared" ref="R5:R6" si="4">GEOMEAN(C5,H5,M5)</f>
        <v>0.69336127435063466</v>
      </c>
      <c r="S5" s="8">
        <f t="shared" si="0"/>
        <v>1</v>
      </c>
      <c r="T5" s="8">
        <f t="shared" si="0"/>
        <v>0.23712622029933753</v>
      </c>
    </row>
    <row r="6" spans="2:20" x14ac:dyDescent="0.2">
      <c r="B6" s="9">
        <v>1</v>
      </c>
      <c r="C6" s="8">
        <v>5</v>
      </c>
      <c r="D6" s="8">
        <v>3</v>
      </c>
      <c r="E6" s="8">
        <v>1</v>
      </c>
      <c r="G6" s="8">
        <f t="shared" si="1"/>
        <v>1</v>
      </c>
      <c r="H6" s="8">
        <v>3</v>
      </c>
      <c r="I6" s="8">
        <v>5</v>
      </c>
      <c r="J6" s="8">
        <v>1</v>
      </c>
      <c r="L6" s="8">
        <f t="shared" si="2"/>
        <v>1</v>
      </c>
      <c r="M6" s="8">
        <v>3</v>
      </c>
      <c r="N6" s="8">
        <v>5</v>
      </c>
      <c r="O6" s="8">
        <v>1</v>
      </c>
      <c r="Q6" s="8">
        <f t="shared" si="3"/>
        <v>1</v>
      </c>
      <c r="R6" s="8">
        <f t="shared" si="4"/>
        <v>3.556893304490063</v>
      </c>
      <c r="S6" s="8">
        <f t="shared" si="0"/>
        <v>4.2171633265087465</v>
      </c>
      <c r="T6" s="8">
        <f t="shared" si="0"/>
        <v>1</v>
      </c>
    </row>
    <row r="8" spans="2:20" hidden="1" x14ac:dyDescent="0.2">
      <c r="C8" s="8">
        <f>SUM(C4:C6)</f>
        <v>9</v>
      </c>
      <c r="D8" s="8">
        <f t="shared" ref="D8:E8" si="5">SUM(D4:D6)</f>
        <v>4.333333333333333</v>
      </c>
      <c r="E8" s="8">
        <f t="shared" si="5"/>
        <v>1.5333333333333332</v>
      </c>
      <c r="H8" s="8">
        <f>SUM(H4:H6)</f>
        <v>4.333333333333333</v>
      </c>
      <c r="I8" s="8">
        <f t="shared" ref="I8:J8" si="6">SUM(I4:I6)</f>
        <v>9</v>
      </c>
      <c r="J8" s="8">
        <f t="shared" si="6"/>
        <v>1.5333333333333332</v>
      </c>
      <c r="M8" s="8">
        <f>SUM(M4:M6)</f>
        <v>4.333333333333333</v>
      </c>
      <c r="N8" s="8">
        <f t="shared" ref="N8:O8" si="7">SUM(N4:N6)</f>
        <v>9</v>
      </c>
      <c r="O8" s="8">
        <f t="shared" si="7"/>
        <v>1.5333333333333332</v>
      </c>
      <c r="R8" s="8">
        <f>SUM(R4:R6)</f>
        <v>5.250254578840698</v>
      </c>
      <c r="S8" s="8">
        <f t="shared" ref="S8:T8" si="8">SUM(S4:S6)</f>
        <v>6.6594128968161552</v>
      </c>
      <c r="T8" s="8">
        <f t="shared" si="8"/>
        <v>1.5182704420665871</v>
      </c>
    </row>
    <row r="9" spans="2:20" hidden="1" x14ac:dyDescent="0.2"/>
    <row r="10" spans="2:20" hidden="1" x14ac:dyDescent="0.2"/>
    <row r="11" spans="2:20" hidden="1" x14ac:dyDescent="0.2">
      <c r="C11" s="8">
        <f>C4/C$8</f>
        <v>0.1111111111111111</v>
      </c>
      <c r="D11" s="8">
        <f>D4/D$8</f>
        <v>7.6923076923076927E-2</v>
      </c>
      <c r="E11" s="8">
        <f>E4/E$8</f>
        <v>0.13043478260869568</v>
      </c>
      <c r="H11" s="8">
        <f>H4/H$8</f>
        <v>0.23076923076923078</v>
      </c>
      <c r="I11" s="8">
        <f>I4/I$8</f>
        <v>0.33333333333333331</v>
      </c>
      <c r="J11" s="8">
        <f>J4/J$8</f>
        <v>0.21739130434782608</v>
      </c>
      <c r="M11" s="8">
        <f>M4/M$8</f>
        <v>0.23076923076923078</v>
      </c>
      <c r="N11" s="8">
        <f>N4/N$8</f>
        <v>0.33333333333333331</v>
      </c>
      <c r="O11" s="8">
        <f>O4/O$8</f>
        <v>0.21739130434782608</v>
      </c>
      <c r="R11" s="8">
        <f>R4/R$8</f>
        <v>0.19046695450352977</v>
      </c>
      <c r="S11" s="8">
        <f>S4/S$8</f>
        <v>0.21657308123918001</v>
      </c>
      <c r="T11" s="8">
        <f>T4/T$8</f>
        <v>0.18517400719767127</v>
      </c>
    </row>
    <row r="12" spans="2:20" hidden="1" x14ac:dyDescent="0.2">
      <c r="C12" s="8">
        <f t="shared" ref="C12:E13" si="9">C5/C$8</f>
        <v>0.33333333333333331</v>
      </c>
      <c r="D12" s="8">
        <f t="shared" si="9"/>
        <v>0.23076923076923078</v>
      </c>
      <c r="E12" s="8">
        <f t="shared" si="9"/>
        <v>0.21739130434782608</v>
      </c>
      <c r="H12" s="8">
        <f t="shared" ref="H12:J13" si="10">H5/H$8</f>
        <v>7.6923076923076927E-2</v>
      </c>
      <c r="I12" s="8">
        <f t="shared" si="10"/>
        <v>0.1111111111111111</v>
      </c>
      <c r="J12" s="8">
        <f t="shared" si="10"/>
        <v>0.13043478260869568</v>
      </c>
      <c r="M12" s="8">
        <f t="shared" ref="M12:O13" si="11">M5/M$8</f>
        <v>7.6923076923076927E-2</v>
      </c>
      <c r="N12" s="8">
        <f t="shared" si="11"/>
        <v>0.1111111111111111</v>
      </c>
      <c r="O12" s="8">
        <f t="shared" si="11"/>
        <v>0.13043478260869568</v>
      </c>
      <c r="R12" s="8">
        <f t="shared" ref="R12:T13" si="12">R5/R$8</f>
        <v>0.13206241029625174</v>
      </c>
      <c r="S12" s="8">
        <f t="shared" si="12"/>
        <v>0.1501633875980414</v>
      </c>
      <c r="T12" s="8">
        <f t="shared" si="12"/>
        <v>0.15618180643533719</v>
      </c>
    </row>
    <row r="13" spans="2:20" hidden="1" x14ac:dyDescent="0.2">
      <c r="C13" s="8">
        <f t="shared" si="9"/>
        <v>0.55555555555555558</v>
      </c>
      <c r="D13" s="8">
        <f t="shared" si="9"/>
        <v>0.6923076923076924</v>
      </c>
      <c r="E13" s="8">
        <f t="shared" si="9"/>
        <v>0.65217391304347827</v>
      </c>
      <c r="H13" s="8">
        <f t="shared" si="10"/>
        <v>0.6923076923076924</v>
      </c>
      <c r="I13" s="8">
        <f t="shared" si="10"/>
        <v>0.55555555555555558</v>
      </c>
      <c r="J13" s="8">
        <f t="shared" si="10"/>
        <v>0.65217391304347827</v>
      </c>
      <c r="M13" s="8">
        <f t="shared" si="11"/>
        <v>0.6923076923076924</v>
      </c>
      <c r="N13" s="8">
        <f t="shared" si="11"/>
        <v>0.55555555555555558</v>
      </c>
      <c r="O13" s="8">
        <f t="shared" si="11"/>
        <v>0.65217391304347827</v>
      </c>
      <c r="R13" s="8">
        <f t="shared" si="12"/>
        <v>0.67747063520021844</v>
      </c>
      <c r="S13" s="8">
        <f t="shared" si="12"/>
        <v>0.63326353116277856</v>
      </c>
      <c r="T13" s="8">
        <f t="shared" si="12"/>
        <v>0.65864418636699162</v>
      </c>
    </row>
    <row r="14" spans="2:20" hidden="1" x14ac:dyDescent="0.2"/>
    <row r="15" spans="2:20" x14ac:dyDescent="0.2">
      <c r="D15" s="8">
        <f>B4</f>
        <v>3</v>
      </c>
      <c r="E15" s="8">
        <f>AVERAGE(C11:E11)</f>
        <v>0.1061563235476279</v>
      </c>
      <c r="I15" s="8">
        <f>G4</f>
        <v>3</v>
      </c>
      <c r="J15" s="8">
        <f>AVERAGE(H11:J11)</f>
        <v>0.26049795615013005</v>
      </c>
      <c r="N15" s="8">
        <f>L4</f>
        <v>3</v>
      </c>
      <c r="O15" s="8">
        <f>AVERAGE(M11:O11)</f>
        <v>0.26049795615013005</v>
      </c>
      <c r="S15" s="8">
        <f>Q4</f>
        <v>3</v>
      </c>
      <c r="T15" s="11">
        <f>AVERAGE(R11:T11)</f>
        <v>0.19740468098012701</v>
      </c>
    </row>
    <row r="16" spans="2:20" x14ac:dyDescent="0.2">
      <c r="D16" s="8">
        <f t="shared" ref="D16:D17" si="13">B5</f>
        <v>2</v>
      </c>
      <c r="E16" s="8">
        <f t="shared" ref="E16:E17" si="14">AVERAGE(C12:E12)</f>
        <v>0.26049795615013005</v>
      </c>
      <c r="I16" s="8">
        <f t="shared" ref="I16:I17" si="15">G5</f>
        <v>2</v>
      </c>
      <c r="J16" s="8">
        <f t="shared" ref="J16:J17" si="16">AVERAGE(H12:J12)</f>
        <v>0.1061563235476279</v>
      </c>
      <c r="N16" s="8">
        <f t="shared" ref="N16:N17" si="17">L5</f>
        <v>2</v>
      </c>
      <c r="O16" s="8">
        <f t="shared" ref="O16:O17" si="18">AVERAGE(M12:O12)</f>
        <v>0.1061563235476279</v>
      </c>
      <c r="S16" s="8">
        <f t="shared" ref="S16:S17" si="19">Q5</f>
        <v>2</v>
      </c>
      <c r="T16" s="11">
        <f t="shared" ref="T16:T17" si="20">AVERAGE(R12:T12)</f>
        <v>0.14613586810987678</v>
      </c>
    </row>
    <row r="17" spans="2:20" x14ac:dyDescent="0.2">
      <c r="D17" s="8">
        <f t="shared" si="13"/>
        <v>1</v>
      </c>
      <c r="E17" s="8">
        <f t="shared" si="14"/>
        <v>0.63334572030224201</v>
      </c>
      <c r="I17" s="8">
        <f t="shared" si="15"/>
        <v>1</v>
      </c>
      <c r="J17" s="8">
        <f t="shared" si="16"/>
        <v>0.63334572030224201</v>
      </c>
      <c r="N17" s="8">
        <f t="shared" si="17"/>
        <v>1</v>
      </c>
      <c r="O17" s="8">
        <f t="shared" si="18"/>
        <v>0.63334572030224201</v>
      </c>
      <c r="S17" s="8">
        <f t="shared" si="19"/>
        <v>1</v>
      </c>
      <c r="T17" s="11">
        <f t="shared" si="20"/>
        <v>0.65645945090999624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0.1061563235476279</v>
      </c>
      <c r="D21" s="8">
        <f>D4*E$16</f>
        <v>8.6832652050043341E-2</v>
      </c>
      <c r="E21" s="8">
        <f>E4*E$17</f>
        <v>0.12666914406044841</v>
      </c>
      <c r="H21" s="8">
        <f>H4*J$15</f>
        <v>0.26049795615013005</v>
      </c>
      <c r="I21" s="8">
        <f>I4*J$16</f>
        <v>0.31846897064288371</v>
      </c>
      <c r="J21" s="8">
        <f>J4*J$17</f>
        <v>0.21111524010074734</v>
      </c>
      <c r="M21" s="8">
        <f>M4*O$15</f>
        <v>0.26049795615013005</v>
      </c>
      <c r="N21" s="8">
        <f>N4*O$16</f>
        <v>0.31846897064288371</v>
      </c>
      <c r="O21" s="8">
        <f>O4*O$17</f>
        <v>0.21111524010074734</v>
      </c>
      <c r="R21" s="8">
        <f>R4*T$15</f>
        <v>0.19740468098012701</v>
      </c>
      <c r="S21" s="8">
        <f>S4*T$16</f>
        <v>0.21076439298796987</v>
      </c>
      <c r="T21" s="8">
        <f>T4*T$17</f>
        <v>0.18455978144784699</v>
      </c>
    </row>
    <row r="22" spans="2:20" hidden="1" x14ac:dyDescent="0.2">
      <c r="C22" s="8">
        <f t="shared" ref="C22:C23" si="21">C5*E$15</f>
        <v>0.31846897064288371</v>
      </c>
      <c r="D22" s="8">
        <f t="shared" ref="D22:D23" si="22">D5*E$16</f>
        <v>0.26049795615013005</v>
      </c>
      <c r="E22" s="8">
        <f t="shared" ref="E22:E23" si="23">E5*E$17</f>
        <v>0.21111524010074734</v>
      </c>
      <c r="H22" s="8">
        <f t="shared" ref="H22:H23" si="24">H5*J$15</f>
        <v>8.6832652050043341E-2</v>
      </c>
      <c r="I22" s="8">
        <f t="shared" ref="I22:I23" si="25">I5*J$16</f>
        <v>0.1061563235476279</v>
      </c>
      <c r="J22" s="8">
        <f t="shared" ref="J22:J23" si="26">J5*J$17</f>
        <v>0.12666914406044841</v>
      </c>
      <c r="M22" s="8">
        <f t="shared" ref="M22:M23" si="27">M5*O$15</f>
        <v>8.6832652050043341E-2</v>
      </c>
      <c r="N22" s="8">
        <f t="shared" ref="N22:N23" si="28">N5*O$16</f>
        <v>0.1061563235476279</v>
      </c>
      <c r="O22" s="8">
        <f t="shared" ref="O22:O23" si="29">O5*O$17</f>
        <v>0.12666914406044841</v>
      </c>
      <c r="R22" s="8">
        <f t="shared" ref="R22:R23" si="30">R5*T$15</f>
        <v>0.13687276116716135</v>
      </c>
      <c r="S22" s="8">
        <f t="shared" ref="S22:S23" si="31">S5*T$16</f>
        <v>0.14613586810987678</v>
      </c>
      <c r="T22" s="8">
        <f t="shared" ref="T22:T23" si="32">T5*T$17</f>
        <v>0.15566374837406591</v>
      </c>
    </row>
    <row r="23" spans="2:20" hidden="1" x14ac:dyDescent="0.2">
      <c r="C23" s="8">
        <f t="shared" si="21"/>
        <v>0.53078161773813948</v>
      </c>
      <c r="D23" s="8">
        <f t="shared" si="22"/>
        <v>0.78149386845039015</v>
      </c>
      <c r="E23" s="8">
        <f t="shared" si="23"/>
        <v>0.63334572030224201</v>
      </c>
      <c r="H23" s="8">
        <f t="shared" si="24"/>
        <v>0.78149386845039015</v>
      </c>
      <c r="I23" s="8">
        <f t="shared" si="25"/>
        <v>0.53078161773813948</v>
      </c>
      <c r="J23" s="8">
        <f t="shared" si="26"/>
        <v>0.63334572030224201</v>
      </c>
      <c r="M23" s="8">
        <f t="shared" si="27"/>
        <v>0.78149386845039015</v>
      </c>
      <c r="N23" s="8">
        <f t="shared" si="28"/>
        <v>0.53078161773813948</v>
      </c>
      <c r="O23" s="8">
        <f t="shared" si="29"/>
        <v>0.63334572030224201</v>
      </c>
      <c r="R23" s="8">
        <f t="shared" si="30"/>
        <v>0.70214738805321064</v>
      </c>
      <c r="S23" s="8">
        <f t="shared" si="31"/>
        <v>0.61627882368049136</v>
      </c>
      <c r="T23" s="8">
        <f t="shared" si="32"/>
        <v>0.65645945090999624</v>
      </c>
    </row>
    <row r="24" spans="2:20" hidden="1" x14ac:dyDescent="0.2"/>
    <row r="25" spans="2:20" hidden="1" x14ac:dyDescent="0.2">
      <c r="C25" s="8">
        <f>SUM(C21:E21)</f>
        <v>0.31965811965811963</v>
      </c>
      <c r="D25" s="8">
        <f>SUM(C22:E22)</f>
        <v>0.7900821668937611</v>
      </c>
      <c r="E25" s="8">
        <f>SUM(C23:E23)</f>
        <v>1.9456212064907716</v>
      </c>
      <c r="H25" s="8">
        <f>SUM(H21:J21)</f>
        <v>0.7900821668937611</v>
      </c>
      <c r="I25" s="8">
        <f>SUM(H22:J22)</f>
        <v>0.31965811965811963</v>
      </c>
      <c r="J25" s="8">
        <f>SUM(H23:J23)</f>
        <v>1.9456212064907716</v>
      </c>
      <c r="M25" s="8">
        <f>SUM(M21:O21)</f>
        <v>0.7900821668937611</v>
      </c>
      <c r="N25" s="8">
        <f>SUM(M22:O22)</f>
        <v>0.31965811965811963</v>
      </c>
      <c r="O25" s="8">
        <f>SUM(M23:O23)</f>
        <v>1.9456212064907716</v>
      </c>
      <c r="R25" s="8">
        <f>SUM(R21:T21)</f>
        <v>0.59272885541594389</v>
      </c>
      <c r="S25" s="8">
        <f>SUM(R22:T22)</f>
        <v>0.43867237765110401</v>
      </c>
      <c r="T25" s="8">
        <f>SUM(R23:T23)</f>
        <v>1.9748856626436981</v>
      </c>
    </row>
    <row r="26" spans="2:20" hidden="1" x14ac:dyDescent="0.2"/>
    <row r="27" spans="2:20" hidden="1" x14ac:dyDescent="0.2">
      <c r="C27" s="8">
        <f>E15</f>
        <v>0.1061563235476279</v>
      </c>
      <c r="D27" s="8">
        <f>E16</f>
        <v>0.26049795615013005</v>
      </c>
      <c r="E27" s="8">
        <f>E17</f>
        <v>0.63334572030224201</v>
      </c>
      <c r="H27" s="8">
        <f>J15</f>
        <v>0.26049795615013005</v>
      </c>
      <c r="I27" s="8">
        <f>J16</f>
        <v>0.1061563235476279</v>
      </c>
      <c r="J27" s="8">
        <f>J17</f>
        <v>0.63334572030224201</v>
      </c>
      <c r="M27" s="8">
        <f>O15</f>
        <v>0.26049795615013005</v>
      </c>
      <c r="N27" s="8">
        <f>O16</f>
        <v>0.1061563235476279</v>
      </c>
      <c r="O27" s="8">
        <f>O17</f>
        <v>0.63334572030224201</v>
      </c>
      <c r="R27" s="8">
        <f>T15</f>
        <v>0.19740468098012701</v>
      </c>
      <c r="S27" s="8">
        <f>T16</f>
        <v>0.14613586810987678</v>
      </c>
      <c r="T27" s="8">
        <f>T17</f>
        <v>0.65645945090999624</v>
      </c>
    </row>
    <row r="28" spans="2:20" hidden="1" x14ac:dyDescent="0.2"/>
    <row r="29" spans="2:20" hidden="1" x14ac:dyDescent="0.2">
      <c r="C29" s="8">
        <f>C25/C27</f>
        <v>3.0112018669778293</v>
      </c>
      <c r="D29" s="8">
        <f t="shared" ref="D29:E29" si="33">D25/D27</f>
        <v>3.0329687747662071</v>
      </c>
      <c r="E29" s="8">
        <f t="shared" si="33"/>
        <v>3.0719734011343633</v>
      </c>
      <c r="H29" s="8">
        <f>H25/H27</f>
        <v>3.0329687747662071</v>
      </c>
      <c r="I29" s="8">
        <f t="shared" ref="I29:J29" si="34">I25/I27</f>
        <v>3.0112018669778293</v>
      </c>
      <c r="J29" s="8">
        <f t="shared" si="34"/>
        <v>3.0719734011343633</v>
      </c>
      <c r="M29" s="8">
        <f>M25/M27</f>
        <v>3.0329687747662071</v>
      </c>
      <c r="N29" s="8">
        <f t="shared" ref="N29:O29" si="35">N25/N27</f>
        <v>3.0112018669778293</v>
      </c>
      <c r="O29" s="8">
        <f t="shared" si="35"/>
        <v>3.0719734011343633</v>
      </c>
      <c r="R29" s="8">
        <f>R25/R27</f>
        <v>3.0026079040932911</v>
      </c>
      <c r="S29" s="8">
        <f t="shared" ref="S29:T29" si="36">S25/S27</f>
        <v>3.0018118298053604</v>
      </c>
      <c r="T29" s="8">
        <f t="shared" si="36"/>
        <v>3.0083894137041902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3.0387146809594667</v>
      </c>
      <c r="I31" s="8" t="s">
        <v>20</v>
      </c>
      <c r="J31" s="8">
        <f>AVERAGE(H29:J29)</f>
        <v>3.0387146809594667</v>
      </c>
      <c r="N31" s="8" t="s">
        <v>20</v>
      </c>
      <c r="O31" s="8">
        <f>AVERAGE(M29:O29)</f>
        <v>3.0387146809594667</v>
      </c>
      <c r="S31" s="8" t="s">
        <v>20</v>
      </c>
      <c r="T31" s="8">
        <f>AVERAGE(R29:T29)</f>
        <v>3.0042697158676135</v>
      </c>
    </row>
    <row r="32" spans="2:20" hidden="1" x14ac:dyDescent="0.2">
      <c r="D32" s="8" t="s">
        <v>21</v>
      </c>
      <c r="E32" s="8">
        <f>(E31-3)/2</f>
        <v>1.9357340479733365E-2</v>
      </c>
      <c r="I32" s="8" t="s">
        <v>21</v>
      </c>
      <c r="J32" s="8">
        <f>(J31-3)/2</f>
        <v>1.9357340479733365E-2</v>
      </c>
      <c r="N32" s="8" t="s">
        <v>21</v>
      </c>
      <c r="O32" s="8">
        <f>(O31-3)/2</f>
        <v>1.9357340479733365E-2</v>
      </c>
      <c r="S32" s="8" t="s">
        <v>21</v>
      </c>
      <c r="T32" s="8">
        <f>(T31-3)/2</f>
        <v>2.1348579338067442E-3</v>
      </c>
    </row>
    <row r="33" spans="4:20" x14ac:dyDescent="0.2">
      <c r="D33" s="8" t="s">
        <v>22</v>
      </c>
      <c r="E33" s="8">
        <f>E32/0.52</f>
        <v>3.722565476871801E-2</v>
      </c>
      <c r="I33" s="8" t="s">
        <v>22</v>
      </c>
      <c r="J33" s="8">
        <f>J32/0.52</f>
        <v>3.722565476871801E-2</v>
      </c>
      <c r="N33" s="8" t="s">
        <v>22</v>
      </c>
      <c r="O33" s="8">
        <f>O32/0.52</f>
        <v>3.722565476871801E-2</v>
      </c>
      <c r="S33" s="8" t="s">
        <v>22</v>
      </c>
      <c r="T33" s="8">
        <f>T32/0.52</f>
        <v>4.1054960265514313E-3</v>
      </c>
    </row>
  </sheetData>
  <pageMargins left="0.7" right="0.7" top="0.75" bottom="0.75" header="0.3" footer="0.3"/>
  <pageSetup paperSize="9"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BC52-6F97-40CE-B4AA-E21F539CBFDD}">
  <dimension ref="B2:P12"/>
  <sheetViews>
    <sheetView workbookViewId="0">
      <selection activeCell="K34" sqref="K34"/>
    </sheetView>
  </sheetViews>
  <sheetFormatPr baseColWidth="10" defaultColWidth="8.83203125" defaultRowHeight="15" x14ac:dyDescent="0.2"/>
  <sheetData>
    <row r="2" spans="2:16" x14ac:dyDescent="0.2">
      <c r="B2" s="8"/>
      <c r="C2" s="8" t="str">
        <f>B3</f>
        <v>e1</v>
      </c>
      <c r="D2" s="8" t="str">
        <f>B4</f>
        <v>e2</v>
      </c>
      <c r="F2" s="8"/>
      <c r="G2" s="8" t="str">
        <f>F3</f>
        <v>e1</v>
      </c>
      <c r="H2" s="8" t="str">
        <f>F4</f>
        <v>e2</v>
      </c>
      <c r="J2" s="8"/>
      <c r="K2" s="8" t="str">
        <f>J3</f>
        <v>e1</v>
      </c>
      <c r="L2" s="8" t="str">
        <f>J4</f>
        <v>e2</v>
      </c>
      <c r="N2" s="8"/>
      <c r="O2" s="8" t="str">
        <f>N3</f>
        <v>e1</v>
      </c>
      <c r="P2" s="8" t="str">
        <f>N4</f>
        <v>e2</v>
      </c>
    </row>
    <row r="3" spans="2:16" x14ac:dyDescent="0.2">
      <c r="B3" s="9" t="s">
        <v>16</v>
      </c>
      <c r="C3" s="8">
        <v>1</v>
      </c>
      <c r="D3" s="8"/>
      <c r="F3" s="8" t="str">
        <f>B3</f>
        <v>e1</v>
      </c>
      <c r="G3" s="8">
        <v>1</v>
      </c>
      <c r="H3" s="8"/>
      <c r="J3" s="8" t="str">
        <f>F3</f>
        <v>e1</v>
      </c>
      <c r="K3" s="8">
        <v>1</v>
      </c>
      <c r="L3" s="8"/>
      <c r="N3" s="8" t="str">
        <f>J3</f>
        <v>e1</v>
      </c>
      <c r="O3" s="8">
        <f>GEOMEAN(C3,G3,K3)</f>
        <v>1</v>
      </c>
      <c r="P3" s="8" t="e">
        <f>GEOMEAN(D3,H3,L3)</f>
        <v>#NUM!</v>
      </c>
    </row>
    <row r="4" spans="2:16" x14ac:dyDescent="0.2">
      <c r="B4" s="9" t="s">
        <v>17</v>
      </c>
      <c r="C4" s="8"/>
      <c r="D4" s="8">
        <v>1</v>
      </c>
      <c r="F4" s="8" t="str">
        <f>B4</f>
        <v>e2</v>
      </c>
      <c r="G4" s="8"/>
      <c r="H4" s="8">
        <v>1</v>
      </c>
      <c r="J4" s="8" t="str">
        <f>F4</f>
        <v>e2</v>
      </c>
      <c r="K4" s="8"/>
      <c r="L4" s="8">
        <v>1</v>
      </c>
      <c r="N4" s="8" t="str">
        <f>J4</f>
        <v>e2</v>
      </c>
      <c r="O4" s="8" t="e">
        <f>GEOMEAN(C4,G4,K4)</f>
        <v>#NUM!</v>
      </c>
      <c r="P4" s="8">
        <f>GEOMEAN(D4,H4,L4)</f>
        <v>1</v>
      </c>
    </row>
    <row r="6" spans="2:16" hidden="1" x14ac:dyDescent="0.2">
      <c r="C6">
        <f>SUM(C3:C4)</f>
        <v>1</v>
      </c>
      <c r="D6">
        <f>SUM(D3:D4)</f>
        <v>1</v>
      </c>
      <c r="G6">
        <f>SUM(G3:G4)</f>
        <v>1</v>
      </c>
      <c r="H6">
        <f>SUM(H3:H4)</f>
        <v>1</v>
      </c>
      <c r="K6">
        <f>SUM(K3:K4)</f>
        <v>1</v>
      </c>
      <c r="L6">
        <f>SUM(L3:L4)</f>
        <v>1</v>
      </c>
      <c r="O6" t="e">
        <f>SUM(O3:O4)</f>
        <v>#NUM!</v>
      </c>
      <c r="P6" t="e">
        <f>SUM(P3:P4)</f>
        <v>#NUM!</v>
      </c>
    </row>
    <row r="7" spans="2:16" hidden="1" x14ac:dyDescent="0.2"/>
    <row r="8" spans="2:16" hidden="1" x14ac:dyDescent="0.2">
      <c r="C8" s="8">
        <f>C3/C$6</f>
        <v>1</v>
      </c>
      <c r="D8" s="8">
        <f>D3/D$6</f>
        <v>0</v>
      </c>
      <c r="G8" s="8">
        <f>G3/G$6</f>
        <v>1</v>
      </c>
      <c r="H8" s="8">
        <f>H3/H$6</f>
        <v>0</v>
      </c>
      <c r="K8" s="8">
        <f>K3/K$6</f>
        <v>1</v>
      </c>
      <c r="L8" s="8">
        <f>L3/L$6</f>
        <v>0</v>
      </c>
      <c r="O8" s="8" t="e">
        <f>O3/O$6</f>
        <v>#NUM!</v>
      </c>
      <c r="P8" s="8" t="e">
        <f>P3/P$6</f>
        <v>#NUM!</v>
      </c>
    </row>
    <row r="9" spans="2:16" hidden="1" x14ac:dyDescent="0.2">
      <c r="C9" s="8">
        <f>C4/C$6</f>
        <v>0</v>
      </c>
      <c r="D9" s="8">
        <f>D4/D$6</f>
        <v>1</v>
      </c>
      <c r="G9" s="8">
        <f>G4/G$6</f>
        <v>0</v>
      </c>
      <c r="H9" s="8">
        <f>H4/H$6</f>
        <v>1</v>
      </c>
      <c r="K9" s="8">
        <f>K4/K$6</f>
        <v>0</v>
      </c>
      <c r="L9" s="8">
        <f>L4/L$6</f>
        <v>1</v>
      </c>
      <c r="O9" s="8" t="e">
        <f>O4/O$6</f>
        <v>#NUM!</v>
      </c>
      <c r="P9" s="8" t="e">
        <f>P4/P$6</f>
        <v>#NUM!</v>
      </c>
    </row>
    <row r="10" spans="2:16" hidden="1" x14ac:dyDescent="0.2"/>
    <row r="11" spans="2:16" x14ac:dyDescent="0.2">
      <c r="C11" s="8" t="str">
        <f>B3</f>
        <v>e1</v>
      </c>
      <c r="D11" s="8">
        <f>AVERAGE(C8:D8)</f>
        <v>0.5</v>
      </c>
      <c r="G11" s="8" t="str">
        <f>F3</f>
        <v>e1</v>
      </c>
      <c r="H11" s="8">
        <f>AVERAGE(G8:H8)</f>
        <v>0.5</v>
      </c>
      <c r="K11" s="8" t="str">
        <f>J3</f>
        <v>e1</v>
      </c>
      <c r="L11" s="8">
        <f>AVERAGE(K8:L8)</f>
        <v>0.5</v>
      </c>
      <c r="O11" s="8" t="str">
        <f>N3</f>
        <v>e1</v>
      </c>
      <c r="P11" s="8" t="e">
        <f>AVERAGE(O8:P8)</f>
        <v>#NUM!</v>
      </c>
    </row>
    <row r="12" spans="2:16" x14ac:dyDescent="0.2">
      <c r="C12" s="8" t="str">
        <f>B4</f>
        <v>e2</v>
      </c>
      <c r="D12" s="8">
        <f>AVERAGE(C9:D9)</f>
        <v>0.5</v>
      </c>
      <c r="G12" s="8" t="str">
        <f>F4</f>
        <v>e2</v>
      </c>
      <c r="H12" s="8">
        <f>AVERAGE(G9:H9)</f>
        <v>0.5</v>
      </c>
      <c r="K12" s="8" t="str">
        <f>J4</f>
        <v>e2</v>
      </c>
      <c r="L12" s="8">
        <f>AVERAGE(K9:L9)</f>
        <v>0.5</v>
      </c>
      <c r="O12" s="8" t="str">
        <f>N4</f>
        <v>e2</v>
      </c>
      <c r="P12" s="8" t="e">
        <f>AVERAGE(O9:P9)</f>
        <v>#NUM!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1EEC-D952-4482-8B1D-C8FF5C1AD077}">
  <dimension ref="B3:T33"/>
  <sheetViews>
    <sheetView workbookViewId="0">
      <selection activeCell="B3" sqref="B3"/>
    </sheetView>
  </sheetViews>
  <sheetFormatPr baseColWidth="10" defaultColWidth="8.83203125" defaultRowHeight="15" x14ac:dyDescent="0.2"/>
  <sheetData>
    <row r="3" spans="2:20" x14ac:dyDescent="0.2">
      <c r="B3" s="8"/>
      <c r="C3" s="8" t="str">
        <f>B4</f>
        <v>e1</v>
      </c>
      <c r="D3" s="8" t="str">
        <f>B5</f>
        <v>e2</v>
      </c>
      <c r="E3" s="8" t="str">
        <f>B6</f>
        <v>e3</v>
      </c>
      <c r="G3" s="8"/>
      <c r="H3" s="8" t="str">
        <f>G4</f>
        <v>e1</v>
      </c>
      <c r="I3" s="8" t="str">
        <f>G5</f>
        <v>e2</v>
      </c>
      <c r="J3" s="8" t="str">
        <f>G6</f>
        <v>e3</v>
      </c>
      <c r="L3" s="8"/>
      <c r="M3" s="8" t="str">
        <f>L4</f>
        <v>e1</v>
      </c>
      <c r="N3" s="8" t="str">
        <f>L5</f>
        <v>e2</v>
      </c>
      <c r="O3" s="8" t="str">
        <f>L6</f>
        <v>e3</v>
      </c>
      <c r="Q3" s="8"/>
      <c r="R3" s="8" t="str">
        <f>Q4</f>
        <v>e1</v>
      </c>
      <c r="S3" s="8" t="str">
        <f>Q5</f>
        <v>e2</v>
      </c>
      <c r="T3" s="8" t="str">
        <f>Q6</f>
        <v>e3</v>
      </c>
    </row>
    <row r="4" spans="2:20" x14ac:dyDescent="0.2">
      <c r="B4" s="9" t="s">
        <v>16</v>
      </c>
      <c r="C4" s="8">
        <v>1</v>
      </c>
      <c r="D4" s="8"/>
      <c r="E4" s="8"/>
      <c r="G4" s="8" t="str">
        <f>B4</f>
        <v>e1</v>
      </c>
      <c r="H4" s="8">
        <v>1</v>
      </c>
      <c r="I4" s="8"/>
      <c r="J4" s="8"/>
      <c r="L4" s="8" t="str">
        <f>G4</f>
        <v>e1</v>
      </c>
      <c r="M4" s="8">
        <v>1</v>
      </c>
      <c r="N4" s="8"/>
      <c r="O4" s="8"/>
      <c r="Q4" s="8" t="str">
        <f>L4</f>
        <v>e1</v>
      </c>
      <c r="R4" s="8">
        <f>GEOMEAN(C4,H4,M4)</f>
        <v>1</v>
      </c>
      <c r="S4" s="8" t="e">
        <f t="shared" ref="S4:T4" si="0">GEOMEAN(D4,I4,N4)</f>
        <v>#NUM!</v>
      </c>
      <c r="T4" s="8" t="e">
        <f t="shared" si="0"/>
        <v>#NUM!</v>
      </c>
    </row>
    <row r="5" spans="2:20" x14ac:dyDescent="0.2">
      <c r="B5" s="9" t="s">
        <v>17</v>
      </c>
      <c r="C5" s="8"/>
      <c r="D5" s="8">
        <v>1</v>
      </c>
      <c r="E5" s="8"/>
      <c r="G5" s="8" t="str">
        <f t="shared" ref="G5:G6" si="1">B5</f>
        <v>e2</v>
      </c>
      <c r="H5" s="8"/>
      <c r="I5" s="8">
        <v>1</v>
      </c>
      <c r="J5" s="8"/>
      <c r="L5" s="8" t="str">
        <f t="shared" ref="L5:L6" si="2">G5</f>
        <v>e2</v>
      </c>
      <c r="M5" s="8"/>
      <c r="N5" s="8">
        <v>1</v>
      </c>
      <c r="O5" s="8"/>
      <c r="Q5" s="8" t="str">
        <f t="shared" ref="Q5:Q6" si="3">L5</f>
        <v>e2</v>
      </c>
      <c r="R5" s="8" t="e">
        <f t="shared" ref="R5:R6" si="4">GEOMEAN(C5,H5,M5)</f>
        <v>#NUM!</v>
      </c>
      <c r="S5" s="8">
        <f t="shared" ref="S5:S6" si="5">GEOMEAN(D5,I5,N5)</f>
        <v>1</v>
      </c>
      <c r="T5" s="8" t="e">
        <f t="shared" ref="T5:T6" si="6">GEOMEAN(E5,J5,O5)</f>
        <v>#NUM!</v>
      </c>
    </row>
    <row r="6" spans="2:20" x14ac:dyDescent="0.2">
      <c r="B6" s="9" t="s">
        <v>18</v>
      </c>
      <c r="C6" s="8"/>
      <c r="D6" s="8"/>
      <c r="E6" s="8">
        <v>1</v>
      </c>
      <c r="G6" s="8" t="str">
        <f t="shared" si="1"/>
        <v>e3</v>
      </c>
      <c r="H6" s="8"/>
      <c r="I6" s="8"/>
      <c r="J6" s="8">
        <v>1</v>
      </c>
      <c r="L6" s="8" t="str">
        <f t="shared" si="2"/>
        <v>e3</v>
      </c>
      <c r="M6" s="8"/>
      <c r="N6" s="8"/>
      <c r="O6" s="8">
        <v>1</v>
      </c>
      <c r="Q6" s="8" t="str">
        <f t="shared" si="3"/>
        <v>e3</v>
      </c>
      <c r="R6" s="8" t="e">
        <f t="shared" si="4"/>
        <v>#NUM!</v>
      </c>
      <c r="S6" s="8" t="e">
        <f t="shared" si="5"/>
        <v>#NUM!</v>
      </c>
      <c r="T6" s="8">
        <f t="shared" si="6"/>
        <v>1</v>
      </c>
    </row>
    <row r="8" spans="2:20" hidden="1" x14ac:dyDescent="0.2">
      <c r="C8" s="8">
        <f>SUM(C4:C6)</f>
        <v>1</v>
      </c>
      <c r="D8" s="8">
        <f t="shared" ref="D8:E8" si="7">SUM(D4:D6)</f>
        <v>1</v>
      </c>
      <c r="E8" s="8">
        <f t="shared" si="7"/>
        <v>1</v>
      </c>
      <c r="H8" s="8">
        <f>SUM(H4:H6)</f>
        <v>1</v>
      </c>
      <c r="I8" s="8">
        <f t="shared" ref="I8:J8" si="8">SUM(I4:I6)</f>
        <v>1</v>
      </c>
      <c r="J8" s="8">
        <f t="shared" si="8"/>
        <v>1</v>
      </c>
      <c r="M8" s="8">
        <f>SUM(M4:M6)</f>
        <v>1</v>
      </c>
      <c r="N8" s="8">
        <f t="shared" ref="N8:O8" si="9">SUM(N4:N6)</f>
        <v>1</v>
      </c>
      <c r="O8" s="8">
        <f t="shared" si="9"/>
        <v>1</v>
      </c>
      <c r="R8" s="8" t="e">
        <f>SUM(R4:R6)</f>
        <v>#NUM!</v>
      </c>
      <c r="S8" s="8" t="e">
        <f t="shared" ref="S8:T8" si="10">SUM(S4:S6)</f>
        <v>#NUM!</v>
      </c>
      <c r="T8" s="8" t="e">
        <f t="shared" si="10"/>
        <v>#NUM!</v>
      </c>
    </row>
    <row r="9" spans="2:20" hidden="1" x14ac:dyDescent="0.2"/>
    <row r="10" spans="2:20" hidden="1" x14ac:dyDescent="0.2"/>
    <row r="11" spans="2:20" hidden="1" x14ac:dyDescent="0.2">
      <c r="C11" s="8">
        <f>C4/C$8</f>
        <v>1</v>
      </c>
      <c r="D11" s="8">
        <f>D4/D$8</f>
        <v>0</v>
      </c>
      <c r="E11" s="8">
        <f>E4/E$8</f>
        <v>0</v>
      </c>
      <c r="H11" s="8">
        <f>H4/H$8</f>
        <v>1</v>
      </c>
      <c r="I11" s="8">
        <f>I4/I$8</f>
        <v>0</v>
      </c>
      <c r="J11" s="8">
        <f>J4/J$8</f>
        <v>0</v>
      </c>
      <c r="M11" s="8">
        <f>M4/M$8</f>
        <v>1</v>
      </c>
      <c r="N11" s="8">
        <f>N4/N$8</f>
        <v>0</v>
      </c>
      <c r="O11" s="8">
        <f>O4/O$8</f>
        <v>0</v>
      </c>
      <c r="R11" s="8" t="e">
        <f>R4/R$8</f>
        <v>#NUM!</v>
      </c>
      <c r="S11" s="8" t="e">
        <f>S4/S$8</f>
        <v>#NUM!</v>
      </c>
      <c r="T11" s="8" t="e">
        <f>T4/T$8</f>
        <v>#NUM!</v>
      </c>
    </row>
    <row r="12" spans="2:20" hidden="1" x14ac:dyDescent="0.2">
      <c r="C12" s="8">
        <f t="shared" ref="C12:E12" si="11">C5/C$8</f>
        <v>0</v>
      </c>
      <c r="D12" s="8">
        <f t="shared" si="11"/>
        <v>1</v>
      </c>
      <c r="E12" s="8">
        <f t="shared" si="11"/>
        <v>0</v>
      </c>
      <c r="H12" s="8">
        <f t="shared" ref="H12:J12" si="12">H5/H$8</f>
        <v>0</v>
      </c>
      <c r="I12" s="8">
        <f t="shared" si="12"/>
        <v>1</v>
      </c>
      <c r="J12" s="8">
        <f t="shared" si="12"/>
        <v>0</v>
      </c>
      <c r="M12" s="8">
        <f t="shared" ref="M12:O12" si="13">M5/M$8</f>
        <v>0</v>
      </c>
      <c r="N12" s="8">
        <f t="shared" si="13"/>
        <v>1</v>
      </c>
      <c r="O12" s="8">
        <f t="shared" si="13"/>
        <v>0</v>
      </c>
      <c r="R12" s="8" t="e">
        <f t="shared" ref="R12:T12" si="14">R5/R$8</f>
        <v>#NUM!</v>
      </c>
      <c r="S12" s="8" t="e">
        <f t="shared" si="14"/>
        <v>#NUM!</v>
      </c>
      <c r="T12" s="8" t="e">
        <f t="shared" si="14"/>
        <v>#NUM!</v>
      </c>
    </row>
    <row r="13" spans="2:20" hidden="1" x14ac:dyDescent="0.2">
      <c r="C13" s="8">
        <f t="shared" ref="C13:E13" si="15">C6/C$8</f>
        <v>0</v>
      </c>
      <c r="D13" s="8">
        <f t="shared" si="15"/>
        <v>0</v>
      </c>
      <c r="E13" s="8">
        <f t="shared" si="15"/>
        <v>1</v>
      </c>
      <c r="H13" s="8">
        <f t="shared" ref="H13:J13" si="16">H6/H$8</f>
        <v>0</v>
      </c>
      <c r="I13" s="8">
        <f t="shared" si="16"/>
        <v>0</v>
      </c>
      <c r="J13" s="8">
        <f t="shared" si="16"/>
        <v>1</v>
      </c>
      <c r="M13" s="8">
        <f t="shared" ref="M13:O13" si="17">M6/M$8</f>
        <v>0</v>
      </c>
      <c r="N13" s="8">
        <f t="shared" si="17"/>
        <v>0</v>
      </c>
      <c r="O13" s="8">
        <f t="shared" si="17"/>
        <v>1</v>
      </c>
      <c r="R13" s="8" t="e">
        <f t="shared" ref="R13:T13" si="18">R6/R$8</f>
        <v>#NUM!</v>
      </c>
      <c r="S13" s="8" t="e">
        <f t="shared" si="18"/>
        <v>#NUM!</v>
      </c>
      <c r="T13" s="8" t="e">
        <f t="shared" si="18"/>
        <v>#NUM!</v>
      </c>
    </row>
    <row r="14" spans="2:20" hidden="1" x14ac:dyDescent="0.2"/>
    <row r="15" spans="2:20" x14ac:dyDescent="0.2">
      <c r="D15" s="8" t="str">
        <f>B4</f>
        <v>e1</v>
      </c>
      <c r="E15" s="8">
        <f>AVERAGE(C11:E11)</f>
        <v>0.33333333333333331</v>
      </c>
      <c r="I15" s="8" t="str">
        <f>G4</f>
        <v>e1</v>
      </c>
      <c r="J15" s="8">
        <f>AVERAGE(H11:J11)</f>
        <v>0.33333333333333331</v>
      </c>
      <c r="N15" s="8" t="str">
        <f>L4</f>
        <v>e1</v>
      </c>
      <c r="O15" s="8">
        <f>AVERAGE(M11:O11)</f>
        <v>0.33333333333333331</v>
      </c>
      <c r="S15" s="8" t="str">
        <f>Q4</f>
        <v>e1</v>
      </c>
      <c r="T15" s="8" t="e">
        <f>AVERAGE(R11:T11)</f>
        <v>#NUM!</v>
      </c>
    </row>
    <row r="16" spans="2:20" x14ac:dyDescent="0.2">
      <c r="D16" s="8" t="str">
        <f t="shared" ref="D16:D17" si="19">B5</f>
        <v>e2</v>
      </c>
      <c r="E16" s="8">
        <f t="shared" ref="E16:E17" si="20">AVERAGE(C12:E12)</f>
        <v>0.33333333333333331</v>
      </c>
      <c r="I16" s="8" t="str">
        <f t="shared" ref="I16:I17" si="21">G5</f>
        <v>e2</v>
      </c>
      <c r="J16" s="8">
        <f t="shared" ref="J16:J17" si="22">AVERAGE(H12:J12)</f>
        <v>0.33333333333333331</v>
      </c>
      <c r="N16" s="8" t="str">
        <f t="shared" ref="N16:N17" si="23">L5</f>
        <v>e2</v>
      </c>
      <c r="O16" s="8">
        <f t="shared" ref="O16:O17" si="24">AVERAGE(M12:O12)</f>
        <v>0.33333333333333331</v>
      </c>
      <c r="S16" s="8" t="str">
        <f t="shared" ref="S16:S17" si="25">Q5</f>
        <v>e2</v>
      </c>
      <c r="T16" s="8" t="e">
        <f t="shared" ref="T16:T17" si="26">AVERAGE(R12:T12)</f>
        <v>#NUM!</v>
      </c>
    </row>
    <row r="17" spans="2:20" x14ac:dyDescent="0.2">
      <c r="D17" s="8" t="str">
        <f t="shared" si="19"/>
        <v>e3</v>
      </c>
      <c r="E17" s="8">
        <f t="shared" si="20"/>
        <v>0.33333333333333331</v>
      </c>
      <c r="I17" s="8" t="str">
        <f t="shared" si="21"/>
        <v>e3</v>
      </c>
      <c r="J17" s="8">
        <f t="shared" si="22"/>
        <v>0.33333333333333331</v>
      </c>
      <c r="N17" s="8" t="str">
        <f t="shared" si="23"/>
        <v>e3</v>
      </c>
      <c r="O17" s="8">
        <f t="shared" si="24"/>
        <v>0.33333333333333331</v>
      </c>
      <c r="S17" s="8" t="str">
        <f t="shared" si="25"/>
        <v>e3</v>
      </c>
      <c r="T17" s="8" t="e">
        <f t="shared" si="26"/>
        <v>#NUM!</v>
      </c>
    </row>
    <row r="19" spans="2:20" x14ac:dyDescent="0.2">
      <c r="B19" t="s">
        <v>19</v>
      </c>
      <c r="G19" t="s">
        <v>19</v>
      </c>
      <c r="L19" t="s">
        <v>19</v>
      </c>
      <c r="Q19" t="s">
        <v>19</v>
      </c>
    </row>
    <row r="21" spans="2:20" hidden="1" x14ac:dyDescent="0.2">
      <c r="C21" s="8">
        <f>C4*E$15</f>
        <v>0.33333333333333331</v>
      </c>
      <c r="D21" s="8">
        <f>D4*E$16</f>
        <v>0</v>
      </c>
      <c r="E21" s="8">
        <f>E4*E$17</f>
        <v>0</v>
      </c>
      <c r="H21" s="8">
        <f>H4*J$15</f>
        <v>0.33333333333333331</v>
      </c>
      <c r="I21" s="8">
        <f>I4*J$16</f>
        <v>0</v>
      </c>
      <c r="J21" s="8">
        <f>J4*J$17</f>
        <v>0</v>
      </c>
      <c r="M21" s="8">
        <f>M4*O$15</f>
        <v>0.33333333333333331</v>
      </c>
      <c r="N21" s="8">
        <f>N4*O$16</f>
        <v>0</v>
      </c>
      <c r="O21" s="8">
        <f>O4*O$17</f>
        <v>0</v>
      </c>
      <c r="R21" s="8" t="e">
        <f>R4*T$15</f>
        <v>#NUM!</v>
      </c>
      <c r="S21" s="8" t="e">
        <f>S4*T$16</f>
        <v>#NUM!</v>
      </c>
      <c r="T21" s="8" t="e">
        <f>T4*T$17</f>
        <v>#NUM!</v>
      </c>
    </row>
    <row r="22" spans="2:20" hidden="1" x14ac:dyDescent="0.2">
      <c r="C22" s="8">
        <f t="shared" ref="C22:C23" si="27">C5*E$15</f>
        <v>0</v>
      </c>
      <c r="D22" s="8">
        <f t="shared" ref="D22:D23" si="28">D5*E$16</f>
        <v>0.33333333333333331</v>
      </c>
      <c r="E22" s="8">
        <f t="shared" ref="E22:E23" si="29">E5*E$17</f>
        <v>0</v>
      </c>
      <c r="H22" s="8">
        <f t="shared" ref="H22:H23" si="30">H5*J$15</f>
        <v>0</v>
      </c>
      <c r="I22" s="8">
        <f t="shared" ref="I22:I23" si="31">I5*J$16</f>
        <v>0.33333333333333331</v>
      </c>
      <c r="J22" s="8">
        <f t="shared" ref="J22:J23" si="32">J5*J$17</f>
        <v>0</v>
      </c>
      <c r="M22" s="8">
        <f t="shared" ref="M22:M23" si="33">M5*O$15</f>
        <v>0</v>
      </c>
      <c r="N22" s="8">
        <f t="shared" ref="N22:N23" si="34">N5*O$16</f>
        <v>0.33333333333333331</v>
      </c>
      <c r="O22" s="8">
        <f t="shared" ref="O22:O23" si="35">O5*O$17</f>
        <v>0</v>
      </c>
      <c r="R22" s="8" t="e">
        <f t="shared" ref="R22:R23" si="36">R5*T$15</f>
        <v>#NUM!</v>
      </c>
      <c r="S22" s="8" t="e">
        <f t="shared" ref="S22:S23" si="37">S5*T$16</f>
        <v>#NUM!</v>
      </c>
      <c r="T22" s="8" t="e">
        <f t="shared" ref="T22:T23" si="38">T5*T$17</f>
        <v>#NUM!</v>
      </c>
    </row>
    <row r="23" spans="2:20" hidden="1" x14ac:dyDescent="0.2">
      <c r="C23" s="8">
        <f t="shared" si="27"/>
        <v>0</v>
      </c>
      <c r="D23" s="8">
        <f t="shared" si="28"/>
        <v>0</v>
      </c>
      <c r="E23" s="8">
        <f t="shared" si="29"/>
        <v>0.33333333333333331</v>
      </c>
      <c r="H23" s="8">
        <f t="shared" si="30"/>
        <v>0</v>
      </c>
      <c r="I23" s="8">
        <f t="shared" si="31"/>
        <v>0</v>
      </c>
      <c r="J23" s="8">
        <f t="shared" si="32"/>
        <v>0.33333333333333331</v>
      </c>
      <c r="M23" s="8">
        <f t="shared" si="33"/>
        <v>0</v>
      </c>
      <c r="N23" s="8">
        <f t="shared" si="34"/>
        <v>0</v>
      </c>
      <c r="O23" s="8">
        <f t="shared" si="35"/>
        <v>0.33333333333333331</v>
      </c>
      <c r="R23" s="8" t="e">
        <f t="shared" si="36"/>
        <v>#NUM!</v>
      </c>
      <c r="S23" s="8" t="e">
        <f t="shared" si="37"/>
        <v>#NUM!</v>
      </c>
      <c r="T23" s="8" t="e">
        <f t="shared" si="38"/>
        <v>#NUM!</v>
      </c>
    </row>
    <row r="24" spans="2:20" hidden="1" x14ac:dyDescent="0.2"/>
    <row r="25" spans="2:20" hidden="1" x14ac:dyDescent="0.2">
      <c r="C25" s="8">
        <f>SUM(C21:E21)</f>
        <v>0.33333333333333331</v>
      </c>
      <c r="D25" s="8">
        <f>SUM(C22:E22)</f>
        <v>0.33333333333333331</v>
      </c>
      <c r="E25" s="8">
        <f>SUM(C23:E23)</f>
        <v>0.33333333333333331</v>
      </c>
      <c r="H25" s="8">
        <f>SUM(H21:J21)</f>
        <v>0.33333333333333331</v>
      </c>
      <c r="I25" s="8">
        <f>SUM(H22:J22)</f>
        <v>0.33333333333333331</v>
      </c>
      <c r="J25" s="8">
        <f>SUM(H23:J23)</f>
        <v>0.33333333333333331</v>
      </c>
      <c r="M25" s="8">
        <f>SUM(M21:O21)</f>
        <v>0.33333333333333331</v>
      </c>
      <c r="N25" s="8">
        <f>SUM(M22:O22)</f>
        <v>0.33333333333333331</v>
      </c>
      <c r="O25" s="8">
        <f>SUM(M23:O23)</f>
        <v>0.33333333333333331</v>
      </c>
      <c r="R25" s="8" t="e">
        <f>SUM(R21:T21)</f>
        <v>#NUM!</v>
      </c>
      <c r="S25" s="8" t="e">
        <f>SUM(R22:T22)</f>
        <v>#NUM!</v>
      </c>
      <c r="T25" s="8" t="e">
        <f>SUM(R23:T23)</f>
        <v>#NUM!</v>
      </c>
    </row>
    <row r="26" spans="2:20" hidden="1" x14ac:dyDescent="0.2"/>
    <row r="27" spans="2:20" hidden="1" x14ac:dyDescent="0.2">
      <c r="C27" s="8">
        <f>E15</f>
        <v>0.33333333333333331</v>
      </c>
      <c r="D27" s="8">
        <f>E16</f>
        <v>0.33333333333333331</v>
      </c>
      <c r="E27" s="8">
        <f>E17</f>
        <v>0.33333333333333331</v>
      </c>
      <c r="H27" s="8">
        <f>J15</f>
        <v>0.33333333333333331</v>
      </c>
      <c r="I27" s="8">
        <f>J16</f>
        <v>0.33333333333333331</v>
      </c>
      <c r="J27" s="8">
        <f>J17</f>
        <v>0.33333333333333331</v>
      </c>
      <c r="M27" s="8">
        <f>O15</f>
        <v>0.33333333333333331</v>
      </c>
      <c r="N27" s="8">
        <f>O16</f>
        <v>0.33333333333333331</v>
      </c>
      <c r="O27" s="8">
        <f>O17</f>
        <v>0.33333333333333331</v>
      </c>
      <c r="R27" s="8" t="e">
        <f>T15</f>
        <v>#NUM!</v>
      </c>
      <c r="S27" s="8" t="e">
        <f>T16</f>
        <v>#NUM!</v>
      </c>
      <c r="T27" s="8" t="e">
        <f>T17</f>
        <v>#NUM!</v>
      </c>
    </row>
    <row r="28" spans="2:20" hidden="1" x14ac:dyDescent="0.2"/>
    <row r="29" spans="2:20" hidden="1" x14ac:dyDescent="0.2">
      <c r="C29" s="8">
        <f>C25/C27</f>
        <v>1</v>
      </c>
      <c r="D29" s="8">
        <f t="shared" ref="D29:E29" si="39">D25/D27</f>
        <v>1</v>
      </c>
      <c r="E29" s="8">
        <f t="shared" si="39"/>
        <v>1</v>
      </c>
      <c r="H29" s="8">
        <f>H25/H27</f>
        <v>1</v>
      </c>
      <c r="I29" s="8">
        <f t="shared" ref="I29:J29" si="40">I25/I27</f>
        <v>1</v>
      </c>
      <c r="J29" s="8">
        <f t="shared" si="40"/>
        <v>1</v>
      </c>
      <c r="M29" s="8">
        <f>M25/M27</f>
        <v>1</v>
      </c>
      <c r="N29" s="8">
        <f t="shared" ref="N29:O29" si="41">N25/N27</f>
        <v>1</v>
      </c>
      <c r="O29" s="8">
        <f t="shared" si="41"/>
        <v>1</v>
      </c>
      <c r="R29" s="8" t="e">
        <f>R25/R27</f>
        <v>#NUM!</v>
      </c>
      <c r="S29" s="8" t="e">
        <f t="shared" ref="S29:T29" si="42">S25/S27</f>
        <v>#NUM!</v>
      </c>
      <c r="T29" s="8" t="e">
        <f t="shared" si="42"/>
        <v>#NUM!</v>
      </c>
    </row>
    <row r="30" spans="2:20" hidden="1" x14ac:dyDescent="0.2"/>
    <row r="31" spans="2:20" hidden="1" x14ac:dyDescent="0.2">
      <c r="D31" s="8" t="s">
        <v>20</v>
      </c>
      <c r="E31" s="8">
        <f>AVERAGE(C29:E29)</f>
        <v>1</v>
      </c>
      <c r="I31" s="8" t="s">
        <v>20</v>
      </c>
      <c r="J31" s="8">
        <f>AVERAGE(H29:J29)</f>
        <v>1</v>
      </c>
      <c r="N31" s="8" t="s">
        <v>20</v>
      </c>
      <c r="O31" s="8">
        <f>AVERAGE(M29:O29)</f>
        <v>1</v>
      </c>
      <c r="S31" s="8" t="s">
        <v>20</v>
      </c>
      <c r="T31" s="8" t="e">
        <f>AVERAGE(R29:T29)</f>
        <v>#NUM!</v>
      </c>
    </row>
    <row r="32" spans="2:20" hidden="1" x14ac:dyDescent="0.2">
      <c r="D32" s="8" t="s">
        <v>21</v>
      </c>
      <c r="E32" s="8">
        <f>(E31-3)/2</f>
        <v>-1</v>
      </c>
      <c r="I32" s="8" t="s">
        <v>21</v>
      </c>
      <c r="J32" s="8">
        <f>(J31-3)/2</f>
        <v>-1</v>
      </c>
      <c r="N32" s="8" t="s">
        <v>21</v>
      </c>
      <c r="O32" s="8">
        <f>(O31-3)/2</f>
        <v>-1</v>
      </c>
      <c r="S32" s="8" t="s">
        <v>21</v>
      </c>
      <c r="T32" s="8" t="e">
        <f>(T31-3)/2</f>
        <v>#NUM!</v>
      </c>
    </row>
    <row r="33" spans="4:20" x14ac:dyDescent="0.2">
      <c r="D33" s="8" t="s">
        <v>22</v>
      </c>
      <c r="E33" s="8">
        <f>E32/0.52</f>
        <v>-1.9230769230769229</v>
      </c>
      <c r="I33" s="8" t="s">
        <v>22</v>
      </c>
      <c r="J33" s="8">
        <f>J32/0.52</f>
        <v>-1.9230769230769229</v>
      </c>
      <c r="N33" s="8" t="s">
        <v>22</v>
      </c>
      <c r="O33" s="8">
        <f>O32/0.52</f>
        <v>-1.9230769230769229</v>
      </c>
      <c r="S33" s="8" t="s">
        <v>22</v>
      </c>
      <c r="T33" s="8" t="e">
        <f>T32/0.52</f>
        <v>#NUM!</v>
      </c>
    </row>
  </sheetData>
  <phoneticPr fontId="6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6C90-8336-4B0B-992F-33C7819D6B70}">
  <dimension ref="B3:X33"/>
  <sheetViews>
    <sheetView workbookViewId="0">
      <selection activeCell="U4" sqref="U4:X7"/>
    </sheetView>
  </sheetViews>
  <sheetFormatPr baseColWidth="10" defaultColWidth="8.83203125" defaultRowHeight="15" x14ac:dyDescent="0.2"/>
  <sheetData>
    <row r="3" spans="2:24" x14ac:dyDescent="0.2">
      <c r="B3" s="8"/>
      <c r="C3" s="8" t="str">
        <f>B4</f>
        <v>e1</v>
      </c>
      <c r="D3" s="8" t="str">
        <f>B5</f>
        <v>e2</v>
      </c>
      <c r="E3" s="8" t="str">
        <f>B6</f>
        <v>e3</v>
      </c>
      <c r="F3" s="8" t="str">
        <f>B7</f>
        <v>e4</v>
      </c>
      <c r="H3" s="8"/>
      <c r="I3" s="8" t="str">
        <f>H4</f>
        <v>e1</v>
      </c>
      <c r="J3" s="8" t="str">
        <f>H5</f>
        <v>e2</v>
      </c>
      <c r="K3" s="8" t="str">
        <f>H6</f>
        <v>e3</v>
      </c>
      <c r="L3" s="8" t="str">
        <f>H7</f>
        <v>e4</v>
      </c>
      <c r="N3" s="8"/>
      <c r="O3" s="8" t="str">
        <f>N4</f>
        <v>e1</v>
      </c>
      <c r="P3" s="8" t="str">
        <f>N5</f>
        <v>e2</v>
      </c>
      <c r="Q3" s="8" t="str">
        <f>N6</f>
        <v>e3</v>
      </c>
      <c r="R3" s="8" t="str">
        <f>N7</f>
        <v>e4</v>
      </c>
      <c r="T3" s="8"/>
      <c r="U3" s="8" t="str">
        <f>T4</f>
        <v>e1</v>
      </c>
      <c r="V3" s="8" t="str">
        <f>T5</f>
        <v>e2</v>
      </c>
      <c r="W3" s="8" t="str">
        <f>T6</f>
        <v>e3</v>
      </c>
      <c r="X3" s="8" t="str">
        <f>T7</f>
        <v>e4</v>
      </c>
    </row>
    <row r="4" spans="2:24" x14ac:dyDescent="0.2">
      <c r="B4" s="9" t="s">
        <v>16</v>
      </c>
      <c r="C4" s="8">
        <v>1</v>
      </c>
      <c r="D4" s="8"/>
      <c r="E4" s="8"/>
      <c r="F4" s="8"/>
      <c r="H4" s="8" t="str">
        <f>B4</f>
        <v>e1</v>
      </c>
      <c r="I4" s="8">
        <v>1</v>
      </c>
      <c r="J4" s="8"/>
      <c r="K4" s="8"/>
      <c r="L4" s="8"/>
      <c r="N4" s="8" t="str">
        <f>H4</f>
        <v>e1</v>
      </c>
      <c r="O4" s="8">
        <v>1</v>
      </c>
      <c r="P4" s="8"/>
      <c r="Q4" s="8"/>
      <c r="R4" s="8"/>
      <c r="T4" s="8" t="str">
        <f>N4</f>
        <v>e1</v>
      </c>
      <c r="U4" s="8">
        <f>GEOMEAN(C4,I4,O4)</f>
        <v>1</v>
      </c>
      <c r="V4" s="8" t="e">
        <f t="shared" ref="V4:X4" si="0">GEOMEAN(D4,J4,P4)</f>
        <v>#NUM!</v>
      </c>
      <c r="W4" s="8" t="e">
        <f t="shared" si="0"/>
        <v>#NUM!</v>
      </c>
      <c r="X4" s="8" t="e">
        <f t="shared" si="0"/>
        <v>#NUM!</v>
      </c>
    </row>
    <row r="5" spans="2:24" x14ac:dyDescent="0.2">
      <c r="B5" s="9" t="s">
        <v>17</v>
      </c>
      <c r="C5" s="8"/>
      <c r="D5" s="8">
        <v>1</v>
      </c>
      <c r="E5" s="8"/>
      <c r="F5" s="8"/>
      <c r="H5" s="8" t="str">
        <f t="shared" ref="H5:H7" si="1">B5</f>
        <v>e2</v>
      </c>
      <c r="I5" s="8"/>
      <c r="J5" s="8">
        <v>1</v>
      </c>
      <c r="K5" s="8"/>
      <c r="L5" s="8"/>
      <c r="N5" s="8" t="str">
        <f t="shared" ref="N5:N7" si="2">H5</f>
        <v>e2</v>
      </c>
      <c r="O5" s="8"/>
      <c r="P5" s="8">
        <v>1</v>
      </c>
      <c r="Q5" s="8"/>
      <c r="R5" s="8"/>
      <c r="T5" s="8" t="str">
        <f t="shared" ref="T5:T7" si="3">N5</f>
        <v>e2</v>
      </c>
      <c r="U5" s="8" t="e">
        <f t="shared" ref="U5:U7" si="4">GEOMEAN(C5,I5,O5)</f>
        <v>#NUM!</v>
      </c>
      <c r="V5" s="8">
        <f t="shared" ref="V5:V7" si="5">GEOMEAN(D5,J5,P5)</f>
        <v>1</v>
      </c>
      <c r="W5" s="8" t="e">
        <f t="shared" ref="W5:W7" si="6">GEOMEAN(E5,K5,Q5)</f>
        <v>#NUM!</v>
      </c>
      <c r="X5" s="8" t="e">
        <f t="shared" ref="X5:X7" si="7">GEOMEAN(F5,L5,R5)</f>
        <v>#NUM!</v>
      </c>
    </row>
    <row r="6" spans="2:24" x14ac:dyDescent="0.2">
      <c r="B6" s="9" t="s">
        <v>18</v>
      </c>
      <c r="C6" s="8"/>
      <c r="D6" s="8"/>
      <c r="E6" s="8">
        <v>1</v>
      </c>
      <c r="F6" s="8"/>
      <c r="H6" s="8" t="str">
        <f t="shared" si="1"/>
        <v>e3</v>
      </c>
      <c r="I6" s="8"/>
      <c r="J6" s="8"/>
      <c r="K6" s="8">
        <v>1</v>
      </c>
      <c r="L6" s="8"/>
      <c r="N6" s="8" t="str">
        <f t="shared" si="2"/>
        <v>e3</v>
      </c>
      <c r="O6" s="8"/>
      <c r="P6" s="8"/>
      <c r="Q6" s="8">
        <v>1</v>
      </c>
      <c r="R6" s="8"/>
      <c r="T6" s="8" t="str">
        <f t="shared" si="3"/>
        <v>e3</v>
      </c>
      <c r="U6" s="8" t="e">
        <f t="shared" si="4"/>
        <v>#NUM!</v>
      </c>
      <c r="V6" s="8" t="e">
        <f t="shared" si="5"/>
        <v>#NUM!</v>
      </c>
      <c r="W6" s="8">
        <f t="shared" si="6"/>
        <v>1</v>
      </c>
      <c r="X6" s="8" t="e">
        <f t="shared" si="7"/>
        <v>#NUM!</v>
      </c>
    </row>
    <row r="7" spans="2:24" x14ac:dyDescent="0.2">
      <c r="B7" s="9" t="s">
        <v>23</v>
      </c>
      <c r="C7" s="8"/>
      <c r="D7" s="8"/>
      <c r="E7" s="8"/>
      <c r="F7" s="8">
        <v>1</v>
      </c>
      <c r="H7" s="8" t="str">
        <f t="shared" si="1"/>
        <v>e4</v>
      </c>
      <c r="I7" s="8"/>
      <c r="J7" s="8"/>
      <c r="K7" s="8"/>
      <c r="L7" s="8">
        <v>1</v>
      </c>
      <c r="N7" s="8" t="str">
        <f t="shared" si="2"/>
        <v>e4</v>
      </c>
      <c r="O7" s="8"/>
      <c r="P7" s="8"/>
      <c r="Q7" s="8"/>
      <c r="R7" s="8">
        <v>1</v>
      </c>
      <c r="T7" s="8" t="str">
        <f t="shared" si="3"/>
        <v>e4</v>
      </c>
      <c r="U7" s="8" t="e">
        <f t="shared" si="4"/>
        <v>#NUM!</v>
      </c>
      <c r="V7" s="8" t="e">
        <f t="shared" si="5"/>
        <v>#NUM!</v>
      </c>
      <c r="W7" s="8" t="e">
        <f t="shared" si="6"/>
        <v>#NUM!</v>
      </c>
      <c r="X7" s="8">
        <f t="shared" si="7"/>
        <v>1</v>
      </c>
    </row>
    <row r="9" spans="2:24" hidden="1" x14ac:dyDescent="0.2">
      <c r="C9" s="8">
        <f>SUM(C4:C7)</f>
        <v>1</v>
      </c>
      <c r="D9" s="8">
        <f t="shared" ref="D9:F9" si="8">SUM(D4:D7)</f>
        <v>1</v>
      </c>
      <c r="E9" s="8">
        <f t="shared" si="8"/>
        <v>1</v>
      </c>
      <c r="F9" s="8">
        <f t="shared" si="8"/>
        <v>1</v>
      </c>
      <c r="I9" s="8">
        <f>SUM(I4:I7)</f>
        <v>1</v>
      </c>
      <c r="J9" s="8">
        <f t="shared" ref="J9:L9" si="9">SUM(J4:J7)</f>
        <v>1</v>
      </c>
      <c r="K9" s="8">
        <f t="shared" si="9"/>
        <v>1</v>
      </c>
      <c r="L9" s="8">
        <f t="shared" si="9"/>
        <v>1</v>
      </c>
      <c r="O9" s="8">
        <f>SUM(O4:O7)</f>
        <v>1</v>
      </c>
      <c r="P9" s="8">
        <f t="shared" ref="P9:R9" si="10">SUM(P4:P7)</f>
        <v>1</v>
      </c>
      <c r="Q9" s="8">
        <f t="shared" si="10"/>
        <v>1</v>
      </c>
      <c r="R9" s="8">
        <f t="shared" si="10"/>
        <v>1</v>
      </c>
      <c r="U9" s="8" t="e">
        <f>SUM(U4:U7)</f>
        <v>#NUM!</v>
      </c>
      <c r="V9" s="8" t="e">
        <f t="shared" ref="V9:X9" si="11">SUM(V4:V7)</f>
        <v>#NUM!</v>
      </c>
      <c r="W9" s="8" t="e">
        <f t="shared" si="11"/>
        <v>#NUM!</v>
      </c>
      <c r="X9" s="8" t="e">
        <f t="shared" si="11"/>
        <v>#NUM!</v>
      </c>
    </row>
    <row r="10" spans="2:24" hidden="1" x14ac:dyDescent="0.2"/>
    <row r="11" spans="2:24" hidden="1" x14ac:dyDescent="0.2">
      <c r="C11" s="8">
        <f>C4/C$9</f>
        <v>1</v>
      </c>
      <c r="D11" s="8">
        <f t="shared" ref="D11:F11" si="12">D4/D$9</f>
        <v>0</v>
      </c>
      <c r="E11" s="8">
        <f t="shared" si="12"/>
        <v>0</v>
      </c>
      <c r="F11" s="8">
        <f t="shared" si="12"/>
        <v>0</v>
      </c>
      <c r="I11" s="8">
        <f>I4/I$9</f>
        <v>1</v>
      </c>
      <c r="J11" s="8">
        <f t="shared" ref="J11:L11" si="13">J4/J$9</f>
        <v>0</v>
      </c>
      <c r="K11" s="8">
        <f t="shared" si="13"/>
        <v>0</v>
      </c>
      <c r="L11" s="8">
        <f t="shared" si="13"/>
        <v>0</v>
      </c>
      <c r="O11" s="8">
        <f>O4/O$9</f>
        <v>1</v>
      </c>
      <c r="P11" s="8">
        <f t="shared" ref="P11:R11" si="14">P4/P$9</f>
        <v>0</v>
      </c>
      <c r="Q11" s="8">
        <f t="shared" si="14"/>
        <v>0</v>
      </c>
      <c r="R11" s="8">
        <f t="shared" si="14"/>
        <v>0</v>
      </c>
      <c r="U11" s="8" t="e">
        <f>U4/U$9</f>
        <v>#NUM!</v>
      </c>
      <c r="V11" s="8" t="e">
        <f t="shared" ref="V11:X11" si="15">V4/V$9</f>
        <v>#NUM!</v>
      </c>
      <c r="W11" s="8" t="e">
        <f t="shared" si="15"/>
        <v>#NUM!</v>
      </c>
      <c r="X11" s="8" t="e">
        <f t="shared" si="15"/>
        <v>#NUM!</v>
      </c>
    </row>
    <row r="12" spans="2:24" hidden="1" x14ac:dyDescent="0.2">
      <c r="C12" s="8">
        <f t="shared" ref="C12:F12" si="16">C5/C$9</f>
        <v>0</v>
      </c>
      <c r="D12" s="8">
        <f t="shared" si="16"/>
        <v>1</v>
      </c>
      <c r="E12" s="8">
        <f t="shared" si="16"/>
        <v>0</v>
      </c>
      <c r="F12" s="8">
        <f t="shared" si="16"/>
        <v>0</v>
      </c>
      <c r="I12" s="8">
        <f t="shared" ref="I12:L12" si="17">I5/I$9</f>
        <v>0</v>
      </c>
      <c r="J12" s="8">
        <f t="shared" si="17"/>
        <v>1</v>
      </c>
      <c r="K12" s="8">
        <f t="shared" si="17"/>
        <v>0</v>
      </c>
      <c r="L12" s="8">
        <f t="shared" si="17"/>
        <v>0</v>
      </c>
      <c r="O12" s="8">
        <f t="shared" ref="O12:R12" si="18">O5/O$9</f>
        <v>0</v>
      </c>
      <c r="P12" s="8">
        <f t="shared" si="18"/>
        <v>1</v>
      </c>
      <c r="Q12" s="8">
        <f t="shared" si="18"/>
        <v>0</v>
      </c>
      <c r="R12" s="8">
        <f t="shared" si="18"/>
        <v>0</v>
      </c>
      <c r="U12" s="8" t="e">
        <f t="shared" ref="U12:X12" si="19">U5/U$9</f>
        <v>#NUM!</v>
      </c>
      <c r="V12" s="8" t="e">
        <f t="shared" si="19"/>
        <v>#NUM!</v>
      </c>
      <c r="W12" s="8" t="e">
        <f t="shared" si="19"/>
        <v>#NUM!</v>
      </c>
      <c r="X12" s="8" t="e">
        <f t="shared" si="19"/>
        <v>#NUM!</v>
      </c>
    </row>
    <row r="13" spans="2:24" hidden="1" x14ac:dyDescent="0.2">
      <c r="C13" s="8">
        <f t="shared" ref="C13:F13" si="20">C6/C$9</f>
        <v>0</v>
      </c>
      <c r="D13" s="8">
        <f t="shared" si="20"/>
        <v>0</v>
      </c>
      <c r="E13" s="8">
        <f t="shared" si="20"/>
        <v>1</v>
      </c>
      <c r="F13" s="8">
        <f t="shared" si="20"/>
        <v>0</v>
      </c>
      <c r="I13" s="8">
        <f t="shared" ref="I13:L13" si="21">I6/I$9</f>
        <v>0</v>
      </c>
      <c r="J13" s="8">
        <f t="shared" si="21"/>
        <v>0</v>
      </c>
      <c r="K13" s="8">
        <f t="shared" si="21"/>
        <v>1</v>
      </c>
      <c r="L13" s="8">
        <f t="shared" si="21"/>
        <v>0</v>
      </c>
      <c r="O13" s="8">
        <f t="shared" ref="O13:R13" si="22">O6/O$9</f>
        <v>0</v>
      </c>
      <c r="P13" s="8">
        <f t="shared" si="22"/>
        <v>0</v>
      </c>
      <c r="Q13" s="8">
        <f t="shared" si="22"/>
        <v>1</v>
      </c>
      <c r="R13" s="8">
        <f t="shared" si="22"/>
        <v>0</v>
      </c>
      <c r="U13" s="8" t="e">
        <f t="shared" ref="U13:X13" si="23">U6/U$9</f>
        <v>#NUM!</v>
      </c>
      <c r="V13" s="8" t="e">
        <f t="shared" si="23"/>
        <v>#NUM!</v>
      </c>
      <c r="W13" s="8" t="e">
        <f t="shared" si="23"/>
        <v>#NUM!</v>
      </c>
      <c r="X13" s="8" t="e">
        <f t="shared" si="23"/>
        <v>#NUM!</v>
      </c>
    </row>
    <row r="14" spans="2:24" hidden="1" x14ac:dyDescent="0.2">
      <c r="C14" s="8">
        <f t="shared" ref="C14:F14" si="24">C7/C$9</f>
        <v>0</v>
      </c>
      <c r="D14" s="8">
        <f t="shared" si="24"/>
        <v>0</v>
      </c>
      <c r="E14" s="8">
        <f t="shared" si="24"/>
        <v>0</v>
      </c>
      <c r="F14" s="8">
        <f t="shared" si="24"/>
        <v>1</v>
      </c>
      <c r="I14" s="8">
        <f t="shared" ref="I14:L14" si="25">I7/I$9</f>
        <v>0</v>
      </c>
      <c r="J14" s="8">
        <f t="shared" si="25"/>
        <v>0</v>
      </c>
      <c r="K14" s="8">
        <f t="shared" si="25"/>
        <v>0</v>
      </c>
      <c r="L14" s="8">
        <f t="shared" si="25"/>
        <v>1</v>
      </c>
      <c r="O14" s="8">
        <f t="shared" ref="O14:R14" si="26">O7/O$9</f>
        <v>0</v>
      </c>
      <c r="P14" s="8">
        <f t="shared" si="26"/>
        <v>0</v>
      </c>
      <c r="Q14" s="8">
        <f t="shared" si="26"/>
        <v>0</v>
      </c>
      <c r="R14" s="8">
        <f t="shared" si="26"/>
        <v>1</v>
      </c>
      <c r="U14" s="8" t="e">
        <f t="shared" ref="U14:X14" si="27">U7/U$9</f>
        <v>#NUM!</v>
      </c>
      <c r="V14" s="8" t="e">
        <f t="shared" si="27"/>
        <v>#NUM!</v>
      </c>
      <c r="W14" s="8" t="e">
        <f t="shared" si="27"/>
        <v>#NUM!</v>
      </c>
      <c r="X14" s="8" t="e">
        <f t="shared" si="27"/>
        <v>#NUM!</v>
      </c>
    </row>
    <row r="15" spans="2:24" hidden="1" x14ac:dyDescent="0.2"/>
    <row r="16" spans="2:24" x14ac:dyDescent="0.2">
      <c r="E16" s="8" t="str">
        <f>B4</f>
        <v>e1</v>
      </c>
      <c r="F16" s="8">
        <f>AVERAGE(C11:F11)</f>
        <v>0.25</v>
      </c>
      <c r="K16" s="8" t="str">
        <f>H4</f>
        <v>e1</v>
      </c>
      <c r="L16" s="8">
        <f>AVERAGE(I11:L11)</f>
        <v>0.25</v>
      </c>
      <c r="Q16" s="8" t="str">
        <f>N4</f>
        <v>e1</v>
      </c>
      <c r="R16" s="8">
        <f>AVERAGE(O11:R11)</f>
        <v>0.25</v>
      </c>
      <c r="W16" s="8" t="str">
        <f>T4</f>
        <v>e1</v>
      </c>
      <c r="X16" s="8" t="e">
        <f>AVERAGE(U11:X11)</f>
        <v>#NUM!</v>
      </c>
    </row>
    <row r="17" spans="3:24" x14ac:dyDescent="0.2">
      <c r="E17" s="8" t="str">
        <f t="shared" ref="E17:E19" si="28">B5</f>
        <v>e2</v>
      </c>
      <c r="F17" s="8">
        <f t="shared" ref="F17:F19" si="29">AVERAGE(C12:F12)</f>
        <v>0.25</v>
      </c>
      <c r="K17" s="8" t="str">
        <f t="shared" ref="K17:K19" si="30">H5</f>
        <v>e2</v>
      </c>
      <c r="L17" s="8">
        <f t="shared" ref="L17:L19" si="31">AVERAGE(I12:L12)</f>
        <v>0.25</v>
      </c>
      <c r="Q17" s="8" t="str">
        <f t="shared" ref="Q17:Q19" si="32">N5</f>
        <v>e2</v>
      </c>
      <c r="R17" s="8">
        <f t="shared" ref="R17:R19" si="33">AVERAGE(O12:R12)</f>
        <v>0.25</v>
      </c>
      <c r="W17" s="8" t="str">
        <f t="shared" ref="W17:W19" si="34">T5</f>
        <v>e2</v>
      </c>
      <c r="X17" s="8" t="e">
        <f t="shared" ref="X17:X19" si="35">AVERAGE(U12:X12)</f>
        <v>#NUM!</v>
      </c>
    </row>
    <row r="18" spans="3:24" x14ac:dyDescent="0.2">
      <c r="E18" s="8" t="str">
        <f t="shared" si="28"/>
        <v>e3</v>
      </c>
      <c r="F18" s="8">
        <f t="shared" si="29"/>
        <v>0.25</v>
      </c>
      <c r="K18" s="8" t="str">
        <f t="shared" si="30"/>
        <v>e3</v>
      </c>
      <c r="L18" s="8">
        <f t="shared" si="31"/>
        <v>0.25</v>
      </c>
      <c r="Q18" s="8" t="str">
        <f t="shared" si="32"/>
        <v>e3</v>
      </c>
      <c r="R18" s="8">
        <f t="shared" si="33"/>
        <v>0.25</v>
      </c>
      <c r="W18" s="8" t="str">
        <f t="shared" si="34"/>
        <v>e3</v>
      </c>
      <c r="X18" s="8" t="e">
        <f t="shared" si="35"/>
        <v>#NUM!</v>
      </c>
    </row>
    <row r="19" spans="3:24" x14ac:dyDescent="0.2">
      <c r="E19" s="8" t="str">
        <f t="shared" si="28"/>
        <v>e4</v>
      </c>
      <c r="F19" s="8">
        <f t="shared" si="29"/>
        <v>0.25</v>
      </c>
      <c r="K19" s="8" t="str">
        <f t="shared" si="30"/>
        <v>e4</v>
      </c>
      <c r="L19" s="8">
        <f t="shared" si="31"/>
        <v>0.25</v>
      </c>
      <c r="Q19" s="8" t="str">
        <f t="shared" si="32"/>
        <v>e4</v>
      </c>
      <c r="R19" s="8">
        <f t="shared" si="33"/>
        <v>0.25</v>
      </c>
      <c r="W19" s="8" t="str">
        <f t="shared" si="34"/>
        <v>e4</v>
      </c>
      <c r="X19" s="8" t="e">
        <f t="shared" si="35"/>
        <v>#NUM!</v>
      </c>
    </row>
    <row r="21" spans="3:24" hidden="1" x14ac:dyDescent="0.2">
      <c r="C21" s="8">
        <f>C4*F$16</f>
        <v>0.25</v>
      </c>
      <c r="D21" s="8">
        <f>D4*F$17</f>
        <v>0</v>
      </c>
      <c r="E21" s="8">
        <f>E4*F$18</f>
        <v>0</v>
      </c>
      <c r="F21" s="8">
        <f>F4*F$19</f>
        <v>0</v>
      </c>
      <c r="I21" s="8">
        <f>I4*L$16</f>
        <v>0.25</v>
      </c>
      <c r="J21" s="8">
        <f>J4*L$17</f>
        <v>0</v>
      </c>
      <c r="K21" s="8">
        <f>K4*L$18</f>
        <v>0</v>
      </c>
      <c r="L21" s="8">
        <f>L4*L$19</f>
        <v>0</v>
      </c>
      <c r="O21" s="8">
        <f>O4*R$16</f>
        <v>0.25</v>
      </c>
      <c r="P21" s="8">
        <f>P4*R$17</f>
        <v>0</v>
      </c>
      <c r="Q21" s="8">
        <f>Q4*R$18</f>
        <v>0</v>
      </c>
      <c r="R21" s="8">
        <f>R4*R$19</f>
        <v>0</v>
      </c>
      <c r="U21" s="8" t="e">
        <f>U4*X$16</f>
        <v>#NUM!</v>
      </c>
      <c r="V21" s="8" t="e">
        <f>V4*X$17</f>
        <v>#NUM!</v>
      </c>
      <c r="W21" s="8" t="e">
        <f>W4*X$18</f>
        <v>#NUM!</v>
      </c>
      <c r="X21" s="8" t="e">
        <f>X4*X$19</f>
        <v>#NUM!</v>
      </c>
    </row>
    <row r="22" spans="3:24" hidden="1" x14ac:dyDescent="0.2">
      <c r="C22" s="8">
        <f t="shared" ref="C22:C24" si="36">C5*F$16</f>
        <v>0</v>
      </c>
      <c r="D22" s="8">
        <f t="shared" ref="D22:D24" si="37">D5*F$17</f>
        <v>0.25</v>
      </c>
      <c r="E22" s="8">
        <f t="shared" ref="E22:E24" si="38">E5*F$18</f>
        <v>0</v>
      </c>
      <c r="F22" s="8">
        <f t="shared" ref="F22:F24" si="39">F5*F$19</f>
        <v>0</v>
      </c>
      <c r="I22" s="8">
        <f t="shared" ref="I22:I24" si="40">I5*L$16</f>
        <v>0</v>
      </c>
      <c r="J22" s="8">
        <f t="shared" ref="J22:J24" si="41">J5*L$17</f>
        <v>0.25</v>
      </c>
      <c r="K22" s="8">
        <f t="shared" ref="K22:K24" si="42">K5*L$18</f>
        <v>0</v>
      </c>
      <c r="L22" s="8">
        <f t="shared" ref="L22:L24" si="43">L5*L$19</f>
        <v>0</v>
      </c>
      <c r="O22" s="8">
        <f t="shared" ref="O22:O24" si="44">O5*R$16</f>
        <v>0</v>
      </c>
      <c r="P22" s="8">
        <f t="shared" ref="P22:P24" si="45">P5*R$17</f>
        <v>0.25</v>
      </c>
      <c r="Q22" s="8">
        <f t="shared" ref="Q22:Q24" si="46">Q5*R$18</f>
        <v>0</v>
      </c>
      <c r="R22" s="8">
        <f t="shared" ref="R22:R24" si="47">R5*R$19</f>
        <v>0</v>
      </c>
      <c r="U22" s="8" t="e">
        <f t="shared" ref="U22:U24" si="48">U5*X$16</f>
        <v>#NUM!</v>
      </c>
      <c r="V22" s="8" t="e">
        <f t="shared" ref="V22:V24" si="49">V5*X$17</f>
        <v>#NUM!</v>
      </c>
      <c r="W22" s="8" t="e">
        <f t="shared" ref="W22:W24" si="50">W5*X$18</f>
        <v>#NUM!</v>
      </c>
      <c r="X22" s="8" t="e">
        <f t="shared" ref="X22:X24" si="51">X5*X$19</f>
        <v>#NUM!</v>
      </c>
    </row>
    <row r="23" spans="3:24" hidden="1" x14ac:dyDescent="0.2">
      <c r="C23" s="8">
        <f t="shared" si="36"/>
        <v>0</v>
      </c>
      <c r="D23" s="8">
        <f t="shared" si="37"/>
        <v>0</v>
      </c>
      <c r="E23" s="8">
        <f t="shared" si="38"/>
        <v>0.25</v>
      </c>
      <c r="F23" s="8">
        <f t="shared" si="39"/>
        <v>0</v>
      </c>
      <c r="I23" s="8">
        <f t="shared" si="40"/>
        <v>0</v>
      </c>
      <c r="J23" s="8">
        <f t="shared" si="41"/>
        <v>0</v>
      </c>
      <c r="K23" s="8">
        <f t="shared" si="42"/>
        <v>0.25</v>
      </c>
      <c r="L23" s="8">
        <f t="shared" si="43"/>
        <v>0</v>
      </c>
      <c r="O23" s="8">
        <f t="shared" si="44"/>
        <v>0</v>
      </c>
      <c r="P23" s="8">
        <f t="shared" si="45"/>
        <v>0</v>
      </c>
      <c r="Q23" s="8">
        <f t="shared" si="46"/>
        <v>0.25</v>
      </c>
      <c r="R23" s="8">
        <f t="shared" si="47"/>
        <v>0</v>
      </c>
      <c r="U23" s="8" t="e">
        <f t="shared" si="48"/>
        <v>#NUM!</v>
      </c>
      <c r="V23" s="8" t="e">
        <f t="shared" si="49"/>
        <v>#NUM!</v>
      </c>
      <c r="W23" s="8" t="e">
        <f t="shared" si="50"/>
        <v>#NUM!</v>
      </c>
      <c r="X23" s="8" t="e">
        <f t="shared" si="51"/>
        <v>#NUM!</v>
      </c>
    </row>
    <row r="24" spans="3:24" hidden="1" x14ac:dyDescent="0.2">
      <c r="C24" s="8">
        <f t="shared" si="36"/>
        <v>0</v>
      </c>
      <c r="D24" s="8">
        <f t="shared" si="37"/>
        <v>0</v>
      </c>
      <c r="E24" s="8">
        <f t="shared" si="38"/>
        <v>0</v>
      </c>
      <c r="F24" s="8">
        <f t="shared" si="39"/>
        <v>0.25</v>
      </c>
      <c r="I24" s="8">
        <f t="shared" si="40"/>
        <v>0</v>
      </c>
      <c r="J24" s="8">
        <f t="shared" si="41"/>
        <v>0</v>
      </c>
      <c r="K24" s="8">
        <f t="shared" si="42"/>
        <v>0</v>
      </c>
      <c r="L24" s="8">
        <f t="shared" si="43"/>
        <v>0.25</v>
      </c>
      <c r="O24" s="8">
        <f t="shared" si="44"/>
        <v>0</v>
      </c>
      <c r="P24" s="8">
        <f t="shared" si="45"/>
        <v>0</v>
      </c>
      <c r="Q24" s="8">
        <f t="shared" si="46"/>
        <v>0</v>
      </c>
      <c r="R24" s="8">
        <f t="shared" si="47"/>
        <v>0.25</v>
      </c>
      <c r="U24" s="8" t="e">
        <f t="shared" si="48"/>
        <v>#NUM!</v>
      </c>
      <c r="V24" s="8" t="e">
        <f t="shared" si="49"/>
        <v>#NUM!</v>
      </c>
      <c r="W24" s="8" t="e">
        <f t="shared" si="50"/>
        <v>#NUM!</v>
      </c>
      <c r="X24" s="8" t="e">
        <f t="shared" si="51"/>
        <v>#NUM!</v>
      </c>
    </row>
    <row r="25" spans="3:24" hidden="1" x14ac:dyDescent="0.2"/>
    <row r="26" spans="3:24" hidden="1" x14ac:dyDescent="0.2">
      <c r="C26" s="8">
        <f>SUM(C21:F21)</f>
        <v>0.25</v>
      </c>
      <c r="D26" s="8">
        <f>F16</f>
        <v>0.25</v>
      </c>
      <c r="F26" s="8">
        <f>C26/D26</f>
        <v>1</v>
      </c>
      <c r="I26" s="8">
        <f>SUM(I21:L21)</f>
        <v>0.25</v>
      </c>
      <c r="J26" s="8">
        <f>L16</f>
        <v>0.25</v>
      </c>
      <c r="L26" s="8">
        <f>I26/J26</f>
        <v>1</v>
      </c>
      <c r="O26" s="8">
        <f>SUM(O21:R21)</f>
        <v>0.25</v>
      </c>
      <c r="P26" s="8">
        <f>R16</f>
        <v>0.25</v>
      </c>
      <c r="R26" s="8">
        <f>O26/P26</f>
        <v>1</v>
      </c>
      <c r="U26" s="8" t="e">
        <f>SUM(U21:X21)</f>
        <v>#NUM!</v>
      </c>
      <c r="V26" s="8" t="e">
        <f>X16</f>
        <v>#NUM!</v>
      </c>
      <c r="X26" s="8" t="e">
        <f>U26/V26</f>
        <v>#NUM!</v>
      </c>
    </row>
    <row r="27" spans="3:24" hidden="1" x14ac:dyDescent="0.2">
      <c r="C27" s="8">
        <f t="shared" ref="C27:C29" si="52">SUM(C22:F22)</f>
        <v>0.25</v>
      </c>
      <c r="D27" s="8">
        <f t="shared" ref="D27:D29" si="53">F17</f>
        <v>0.25</v>
      </c>
      <c r="F27" s="8">
        <f t="shared" ref="F27:F29" si="54">C27/D27</f>
        <v>1</v>
      </c>
      <c r="I27" s="8">
        <f t="shared" ref="I27:I29" si="55">SUM(I22:L22)</f>
        <v>0.25</v>
      </c>
      <c r="J27" s="8">
        <f t="shared" ref="J27:J29" si="56">L17</f>
        <v>0.25</v>
      </c>
      <c r="L27" s="8">
        <f t="shared" ref="L27:L29" si="57">I27/J27</f>
        <v>1</v>
      </c>
      <c r="O27" s="8">
        <f t="shared" ref="O27:O29" si="58">SUM(O22:R22)</f>
        <v>0.25</v>
      </c>
      <c r="P27" s="8">
        <f t="shared" ref="P27:P29" si="59">R17</f>
        <v>0.25</v>
      </c>
      <c r="R27" s="8">
        <f t="shared" ref="R27:R29" si="60">O27/P27</f>
        <v>1</v>
      </c>
      <c r="U27" s="8" t="e">
        <f t="shared" ref="U27:U29" si="61">SUM(U22:X22)</f>
        <v>#NUM!</v>
      </c>
      <c r="V27" s="8" t="e">
        <f t="shared" ref="V27:V29" si="62">X17</f>
        <v>#NUM!</v>
      </c>
      <c r="X27" s="8" t="e">
        <f t="shared" ref="X27:X29" si="63">U27/V27</f>
        <v>#NUM!</v>
      </c>
    </row>
    <row r="28" spans="3:24" hidden="1" x14ac:dyDescent="0.2">
      <c r="C28" s="8">
        <f t="shared" si="52"/>
        <v>0.25</v>
      </c>
      <c r="D28" s="8">
        <f t="shared" si="53"/>
        <v>0.25</v>
      </c>
      <c r="F28" s="8">
        <f t="shared" si="54"/>
        <v>1</v>
      </c>
      <c r="I28" s="8">
        <f t="shared" si="55"/>
        <v>0.25</v>
      </c>
      <c r="J28" s="8">
        <f t="shared" si="56"/>
        <v>0.25</v>
      </c>
      <c r="L28" s="8">
        <f t="shared" si="57"/>
        <v>1</v>
      </c>
      <c r="O28" s="8">
        <f t="shared" si="58"/>
        <v>0.25</v>
      </c>
      <c r="P28" s="8">
        <f t="shared" si="59"/>
        <v>0.25</v>
      </c>
      <c r="R28" s="8">
        <f t="shared" si="60"/>
        <v>1</v>
      </c>
      <c r="U28" s="8" t="e">
        <f t="shared" si="61"/>
        <v>#NUM!</v>
      </c>
      <c r="V28" s="8" t="e">
        <f t="shared" si="62"/>
        <v>#NUM!</v>
      </c>
      <c r="X28" s="8" t="e">
        <f t="shared" si="63"/>
        <v>#NUM!</v>
      </c>
    </row>
    <row r="29" spans="3:24" hidden="1" x14ac:dyDescent="0.2">
      <c r="C29" s="8">
        <f t="shared" si="52"/>
        <v>0.25</v>
      </c>
      <c r="D29" s="8">
        <f t="shared" si="53"/>
        <v>0.25</v>
      </c>
      <c r="F29" s="8">
        <f t="shared" si="54"/>
        <v>1</v>
      </c>
      <c r="I29" s="8">
        <f t="shared" si="55"/>
        <v>0.25</v>
      </c>
      <c r="J29" s="8">
        <f t="shared" si="56"/>
        <v>0.25</v>
      </c>
      <c r="L29" s="8">
        <f t="shared" si="57"/>
        <v>1</v>
      </c>
      <c r="O29" s="8">
        <f t="shared" si="58"/>
        <v>0.25</v>
      </c>
      <c r="P29" s="8">
        <f t="shared" si="59"/>
        <v>0.25</v>
      </c>
      <c r="R29" s="8">
        <f t="shared" si="60"/>
        <v>1</v>
      </c>
      <c r="U29" s="8" t="e">
        <f t="shared" si="61"/>
        <v>#NUM!</v>
      </c>
      <c r="V29" s="8" t="e">
        <f t="shared" si="62"/>
        <v>#NUM!</v>
      </c>
      <c r="X29" s="8" t="e">
        <f t="shared" si="63"/>
        <v>#NUM!</v>
      </c>
    </row>
    <row r="30" spans="3:24" hidden="1" x14ac:dyDescent="0.2"/>
    <row r="31" spans="3:24" hidden="1" x14ac:dyDescent="0.2">
      <c r="E31" s="8" t="s">
        <v>20</v>
      </c>
      <c r="F31" s="8">
        <f>AVERAGE(F26:F29)</f>
        <v>1</v>
      </c>
      <c r="K31" s="8" t="s">
        <v>20</v>
      </c>
      <c r="L31" s="8">
        <f>AVERAGE(L26:L29)</f>
        <v>1</v>
      </c>
      <c r="Q31" s="8" t="s">
        <v>20</v>
      </c>
      <c r="R31" s="8">
        <f>AVERAGE(R26:R29)</f>
        <v>1</v>
      </c>
      <c r="W31" s="8" t="s">
        <v>20</v>
      </c>
      <c r="X31" s="8" t="e">
        <f>AVERAGE(X26:X29)</f>
        <v>#NUM!</v>
      </c>
    </row>
    <row r="32" spans="3:24" hidden="1" x14ac:dyDescent="0.2">
      <c r="E32" s="8" t="s">
        <v>21</v>
      </c>
      <c r="F32" s="8">
        <f>(F31-4)/3</f>
        <v>-1</v>
      </c>
      <c r="K32" s="8" t="s">
        <v>21</v>
      </c>
      <c r="L32" s="8">
        <f>(L31-4)/3</f>
        <v>-1</v>
      </c>
      <c r="Q32" s="8" t="s">
        <v>21</v>
      </c>
      <c r="R32" s="8">
        <f>(R31-4)/3</f>
        <v>-1</v>
      </c>
      <c r="W32" s="8" t="s">
        <v>21</v>
      </c>
      <c r="X32" s="8" t="e">
        <f>(X31-4)/3</f>
        <v>#NUM!</v>
      </c>
    </row>
    <row r="33" spans="5:24" x14ac:dyDescent="0.2">
      <c r="E33" s="8" t="s">
        <v>22</v>
      </c>
      <c r="F33" s="8">
        <f>F32/0.89</f>
        <v>-1.1235955056179776</v>
      </c>
      <c r="K33" s="8" t="s">
        <v>22</v>
      </c>
      <c r="L33" s="8">
        <f>L32/0.89</f>
        <v>-1.1235955056179776</v>
      </c>
      <c r="Q33" s="8" t="s">
        <v>22</v>
      </c>
      <c r="R33" s="8">
        <f>R32/0.89</f>
        <v>-1.1235955056179776</v>
      </c>
      <c r="W33" s="8" t="s">
        <v>22</v>
      </c>
      <c r="X33" s="8" t="e">
        <f>X32/0.89</f>
        <v>#NUM!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5AD5-EA38-482A-B210-22A1C825EC44}">
  <dimension ref="B2:AB38"/>
  <sheetViews>
    <sheetView workbookViewId="0">
      <selection activeCell="C39" sqref="C39"/>
    </sheetView>
  </sheetViews>
  <sheetFormatPr baseColWidth="10" defaultColWidth="8.83203125" defaultRowHeight="15" x14ac:dyDescent="0.2"/>
  <sheetData>
    <row r="2" spans="2:28" x14ac:dyDescent="0.2">
      <c r="B2" s="8"/>
      <c r="C2" s="8" t="str">
        <f>B3</f>
        <v>e1</v>
      </c>
      <c r="D2" s="8" t="str">
        <f>B4</f>
        <v>e2</v>
      </c>
      <c r="E2" s="8" t="str">
        <f>B5</f>
        <v>e3</v>
      </c>
      <c r="F2" s="8" t="str">
        <f>B6</f>
        <v>e4</v>
      </c>
      <c r="G2" s="8" t="str">
        <f>B7</f>
        <v>e5</v>
      </c>
      <c r="I2" s="8"/>
      <c r="J2" s="8" t="str">
        <f>I3</f>
        <v>e1</v>
      </c>
      <c r="K2" s="8" t="str">
        <f>I4</f>
        <v>e2</v>
      </c>
      <c r="L2" s="8" t="str">
        <f>I5</f>
        <v>e3</v>
      </c>
      <c r="M2" s="8" t="str">
        <f>I6</f>
        <v>e4</v>
      </c>
      <c r="N2" s="8" t="str">
        <f>I7</f>
        <v>e5</v>
      </c>
      <c r="P2" s="8"/>
      <c r="Q2" s="8" t="str">
        <f>P3</f>
        <v>e1</v>
      </c>
      <c r="R2" s="8" t="str">
        <f>P4</f>
        <v>e2</v>
      </c>
      <c r="S2" s="8" t="str">
        <f>P5</f>
        <v>e3</v>
      </c>
      <c r="T2" s="8" t="str">
        <f>P6</f>
        <v>e4</v>
      </c>
      <c r="U2" s="8" t="str">
        <f>P7</f>
        <v>e5</v>
      </c>
      <c r="W2" s="8"/>
      <c r="X2" s="8" t="str">
        <f>W3</f>
        <v>e1</v>
      </c>
      <c r="Y2" s="8" t="str">
        <f>W4</f>
        <v>e2</v>
      </c>
      <c r="Z2" s="8" t="str">
        <f>W5</f>
        <v>e3</v>
      </c>
      <c r="AA2" s="8" t="str">
        <f>W6</f>
        <v>e4</v>
      </c>
      <c r="AB2" s="8" t="str">
        <f>W7</f>
        <v>e5</v>
      </c>
    </row>
    <row r="3" spans="2:28" x14ac:dyDescent="0.2">
      <c r="B3" s="9" t="s">
        <v>16</v>
      </c>
      <c r="C3" s="8">
        <v>1</v>
      </c>
      <c r="D3" s="8"/>
      <c r="E3" s="8"/>
      <c r="F3" s="8"/>
      <c r="G3" s="8"/>
      <c r="I3" s="9" t="s">
        <v>16</v>
      </c>
      <c r="J3" s="8">
        <v>1</v>
      </c>
      <c r="K3" s="8"/>
      <c r="L3" s="8"/>
      <c r="M3" s="8"/>
      <c r="N3" s="8"/>
      <c r="P3" s="9" t="s">
        <v>16</v>
      </c>
      <c r="Q3" s="8">
        <v>1</v>
      </c>
      <c r="R3" s="8"/>
      <c r="S3" s="8"/>
      <c r="T3" s="8"/>
      <c r="U3" s="8"/>
      <c r="W3" s="9" t="s">
        <v>16</v>
      </c>
      <c r="X3" s="8">
        <f>GEOMEAN(C3,J3,Q3)</f>
        <v>1</v>
      </c>
      <c r="Y3" s="8" t="e">
        <f t="shared" ref="Y3:AB3" si="0">GEOMEAN(D3,K3,R3)</f>
        <v>#NUM!</v>
      </c>
      <c r="Z3" s="8" t="e">
        <f t="shared" si="0"/>
        <v>#NUM!</v>
      </c>
      <c r="AA3" s="8" t="e">
        <f t="shared" si="0"/>
        <v>#NUM!</v>
      </c>
      <c r="AB3" s="8" t="e">
        <f t="shared" si="0"/>
        <v>#NUM!</v>
      </c>
    </row>
    <row r="4" spans="2:28" x14ac:dyDescent="0.2">
      <c r="B4" s="9" t="s">
        <v>17</v>
      </c>
      <c r="C4" s="8"/>
      <c r="D4" s="8">
        <v>1</v>
      </c>
      <c r="E4" s="8"/>
      <c r="F4" s="8"/>
      <c r="G4" s="8"/>
      <c r="I4" s="9" t="s">
        <v>17</v>
      </c>
      <c r="J4" s="8"/>
      <c r="K4" s="8">
        <v>1</v>
      </c>
      <c r="L4" s="8"/>
      <c r="M4" s="8"/>
      <c r="N4" s="8"/>
      <c r="P4" s="9" t="s">
        <v>17</v>
      </c>
      <c r="Q4" s="8"/>
      <c r="R4" s="8">
        <v>1</v>
      </c>
      <c r="S4" s="8"/>
      <c r="T4" s="8"/>
      <c r="U4" s="8"/>
      <c r="W4" s="9" t="s">
        <v>17</v>
      </c>
      <c r="X4" s="8" t="e">
        <f t="shared" ref="X4:X7" si="1">GEOMEAN(C4,J4,Q4)</f>
        <v>#NUM!</v>
      </c>
      <c r="Y4" s="8">
        <f t="shared" ref="Y4:Y7" si="2">GEOMEAN(D4,K4,R4)</f>
        <v>1</v>
      </c>
      <c r="Z4" s="8" t="e">
        <f t="shared" ref="Z4:Z7" si="3">GEOMEAN(E4,L4,S4)</f>
        <v>#NUM!</v>
      </c>
      <c r="AA4" s="8" t="e">
        <f t="shared" ref="AA4:AA7" si="4">GEOMEAN(F4,M4,T4)</f>
        <v>#NUM!</v>
      </c>
      <c r="AB4" s="8" t="e">
        <f t="shared" ref="AB4:AB7" si="5">GEOMEAN(G4,N4,U4)</f>
        <v>#NUM!</v>
      </c>
    </row>
    <row r="5" spans="2:28" x14ac:dyDescent="0.2">
      <c r="B5" s="9" t="s">
        <v>18</v>
      </c>
      <c r="C5" s="8"/>
      <c r="D5" s="8"/>
      <c r="E5" s="8">
        <v>1</v>
      </c>
      <c r="F5" s="8"/>
      <c r="G5" s="8"/>
      <c r="I5" s="9" t="s">
        <v>18</v>
      </c>
      <c r="J5" s="8"/>
      <c r="K5" s="8"/>
      <c r="L5" s="8">
        <v>1</v>
      </c>
      <c r="M5" s="8"/>
      <c r="N5" s="8"/>
      <c r="P5" s="9" t="s">
        <v>18</v>
      </c>
      <c r="Q5" s="8"/>
      <c r="R5" s="8"/>
      <c r="S5" s="8">
        <v>1</v>
      </c>
      <c r="T5" s="8"/>
      <c r="U5" s="8"/>
      <c r="W5" s="9" t="s">
        <v>18</v>
      </c>
      <c r="X5" s="8" t="e">
        <f t="shared" si="1"/>
        <v>#NUM!</v>
      </c>
      <c r="Y5" s="8" t="e">
        <f t="shared" si="2"/>
        <v>#NUM!</v>
      </c>
      <c r="Z5" s="8">
        <f t="shared" si="3"/>
        <v>1</v>
      </c>
      <c r="AA5" s="8" t="e">
        <f t="shared" si="4"/>
        <v>#NUM!</v>
      </c>
      <c r="AB5" s="8" t="e">
        <f t="shared" si="5"/>
        <v>#NUM!</v>
      </c>
    </row>
    <row r="6" spans="2:28" x14ac:dyDescent="0.2">
      <c r="B6" s="9" t="s">
        <v>23</v>
      </c>
      <c r="C6" s="8"/>
      <c r="D6" s="8"/>
      <c r="E6" s="8"/>
      <c r="F6" s="8">
        <v>1</v>
      </c>
      <c r="G6" s="8"/>
      <c r="I6" s="9" t="s">
        <v>23</v>
      </c>
      <c r="J6" s="8"/>
      <c r="K6" s="8"/>
      <c r="L6" s="8"/>
      <c r="M6" s="8">
        <v>1</v>
      </c>
      <c r="N6" s="8"/>
      <c r="P6" s="9" t="s">
        <v>23</v>
      </c>
      <c r="Q6" s="8"/>
      <c r="R6" s="8"/>
      <c r="S6" s="8"/>
      <c r="T6" s="8">
        <v>1</v>
      </c>
      <c r="U6" s="8"/>
      <c r="W6" s="9" t="s">
        <v>23</v>
      </c>
      <c r="X6" s="8" t="e">
        <f t="shared" si="1"/>
        <v>#NUM!</v>
      </c>
      <c r="Y6" s="8" t="e">
        <f t="shared" si="2"/>
        <v>#NUM!</v>
      </c>
      <c r="Z6" s="8" t="e">
        <f t="shared" si="3"/>
        <v>#NUM!</v>
      </c>
      <c r="AA6" s="8">
        <f t="shared" si="4"/>
        <v>1</v>
      </c>
      <c r="AB6" s="8" t="e">
        <f t="shared" si="5"/>
        <v>#NUM!</v>
      </c>
    </row>
    <row r="7" spans="2:28" x14ac:dyDescent="0.2">
      <c r="B7" s="9" t="s">
        <v>24</v>
      </c>
      <c r="C7" s="8"/>
      <c r="D7" s="8"/>
      <c r="E7" s="8"/>
      <c r="F7" s="8"/>
      <c r="G7" s="8">
        <v>1</v>
      </c>
      <c r="I7" s="9" t="s">
        <v>24</v>
      </c>
      <c r="J7" s="8"/>
      <c r="K7" s="8"/>
      <c r="L7" s="8"/>
      <c r="M7" s="8"/>
      <c r="N7" s="8">
        <v>1</v>
      </c>
      <c r="P7" s="9" t="s">
        <v>24</v>
      </c>
      <c r="Q7" s="8"/>
      <c r="R7" s="8"/>
      <c r="S7" s="8"/>
      <c r="T7" s="8"/>
      <c r="U7" s="8">
        <v>1</v>
      </c>
      <c r="W7" s="9" t="s">
        <v>24</v>
      </c>
      <c r="X7" s="8" t="e">
        <f t="shared" si="1"/>
        <v>#NUM!</v>
      </c>
      <c r="Y7" s="8" t="e">
        <f t="shared" si="2"/>
        <v>#NUM!</v>
      </c>
      <c r="Z7" s="8" t="e">
        <f t="shared" si="3"/>
        <v>#NUM!</v>
      </c>
      <c r="AA7" s="8" t="e">
        <f t="shared" si="4"/>
        <v>#NUM!</v>
      </c>
      <c r="AB7" s="8">
        <f t="shared" si="5"/>
        <v>1</v>
      </c>
    </row>
    <row r="9" spans="2:28" hidden="1" x14ac:dyDescent="0.2">
      <c r="C9" s="8">
        <f>SUM(C3:C7)</f>
        <v>1</v>
      </c>
      <c r="D9" s="8">
        <f t="shared" ref="D9:G9" si="6">SUM(D3:D7)</f>
        <v>1</v>
      </c>
      <c r="E9" s="8">
        <f t="shared" si="6"/>
        <v>1</v>
      </c>
      <c r="F9" s="8">
        <f t="shared" si="6"/>
        <v>1</v>
      </c>
      <c r="G9" s="8">
        <f t="shared" si="6"/>
        <v>1</v>
      </c>
      <c r="J9" s="8">
        <f>SUM(J3:J7)</f>
        <v>1</v>
      </c>
      <c r="K9" s="8">
        <f t="shared" ref="K9:N9" si="7">SUM(K3:K7)</f>
        <v>1</v>
      </c>
      <c r="L9" s="8">
        <f t="shared" si="7"/>
        <v>1</v>
      </c>
      <c r="M9" s="8">
        <f t="shared" si="7"/>
        <v>1</v>
      </c>
      <c r="N9" s="8">
        <f t="shared" si="7"/>
        <v>1</v>
      </c>
      <c r="Q9" s="8">
        <f>SUM(Q3:Q7)</f>
        <v>1</v>
      </c>
      <c r="R9" s="8">
        <f t="shared" ref="R9:U9" si="8">SUM(R3:R7)</f>
        <v>1</v>
      </c>
      <c r="S9" s="8">
        <f t="shared" si="8"/>
        <v>1</v>
      </c>
      <c r="T9" s="8">
        <f t="shared" si="8"/>
        <v>1</v>
      </c>
      <c r="U9" s="8">
        <f t="shared" si="8"/>
        <v>1</v>
      </c>
      <c r="X9" s="8" t="e">
        <f>SUM(X3:X7)</f>
        <v>#NUM!</v>
      </c>
      <c r="Y9" s="8" t="e">
        <f t="shared" ref="Y9:AB9" si="9">SUM(Y3:Y7)</f>
        <v>#NUM!</v>
      </c>
      <c r="Z9" s="8" t="e">
        <f t="shared" si="9"/>
        <v>#NUM!</v>
      </c>
      <c r="AA9" s="8" t="e">
        <f t="shared" si="9"/>
        <v>#NUM!</v>
      </c>
      <c r="AB9" s="8" t="e">
        <f t="shared" si="9"/>
        <v>#NUM!</v>
      </c>
    </row>
    <row r="10" spans="2:28" hidden="1" x14ac:dyDescent="0.2"/>
    <row r="11" spans="2:28" hidden="1" x14ac:dyDescent="0.2">
      <c r="C11" s="8">
        <f>C3/C$9</f>
        <v>1</v>
      </c>
      <c r="D11" s="8">
        <f t="shared" ref="D11:G11" si="10">D3/D$9</f>
        <v>0</v>
      </c>
      <c r="E11" s="8">
        <f t="shared" si="10"/>
        <v>0</v>
      </c>
      <c r="F11" s="8">
        <f t="shared" si="10"/>
        <v>0</v>
      </c>
      <c r="G11" s="8">
        <f t="shared" si="10"/>
        <v>0</v>
      </c>
      <c r="J11" s="8">
        <f>J3/J$9</f>
        <v>1</v>
      </c>
      <c r="K11" s="8">
        <f t="shared" ref="K11:N11" si="11">K3/K$9</f>
        <v>0</v>
      </c>
      <c r="L11" s="8">
        <f t="shared" si="11"/>
        <v>0</v>
      </c>
      <c r="M11" s="8">
        <f t="shared" si="11"/>
        <v>0</v>
      </c>
      <c r="N11" s="8">
        <f t="shared" si="11"/>
        <v>0</v>
      </c>
      <c r="Q11" s="8">
        <f>Q3/Q$9</f>
        <v>1</v>
      </c>
      <c r="R11" s="8">
        <f t="shared" ref="R11:U11" si="12">R3/R$9</f>
        <v>0</v>
      </c>
      <c r="S11" s="8">
        <f t="shared" si="12"/>
        <v>0</v>
      </c>
      <c r="T11" s="8">
        <f t="shared" si="12"/>
        <v>0</v>
      </c>
      <c r="U11" s="8">
        <f t="shared" si="12"/>
        <v>0</v>
      </c>
      <c r="X11" s="8" t="e">
        <f>X3/X$9</f>
        <v>#NUM!</v>
      </c>
      <c r="Y11" s="8" t="e">
        <f t="shared" ref="Y11:AB11" si="13">Y3/Y$9</f>
        <v>#NUM!</v>
      </c>
      <c r="Z11" s="8" t="e">
        <f t="shared" si="13"/>
        <v>#NUM!</v>
      </c>
      <c r="AA11" s="8" t="e">
        <f t="shared" si="13"/>
        <v>#NUM!</v>
      </c>
      <c r="AB11" s="8" t="e">
        <f t="shared" si="13"/>
        <v>#NUM!</v>
      </c>
    </row>
    <row r="12" spans="2:28" hidden="1" x14ac:dyDescent="0.2">
      <c r="C12" s="8">
        <f t="shared" ref="C12:G12" si="14">C4/C$9</f>
        <v>0</v>
      </c>
      <c r="D12" s="8">
        <f t="shared" si="14"/>
        <v>1</v>
      </c>
      <c r="E12" s="8">
        <f t="shared" si="14"/>
        <v>0</v>
      </c>
      <c r="F12" s="8">
        <f t="shared" si="14"/>
        <v>0</v>
      </c>
      <c r="G12" s="8">
        <f t="shared" si="14"/>
        <v>0</v>
      </c>
      <c r="J12" s="8">
        <f t="shared" ref="J12:N12" si="15">J4/J$9</f>
        <v>0</v>
      </c>
      <c r="K12" s="8">
        <f t="shared" si="15"/>
        <v>1</v>
      </c>
      <c r="L12" s="8">
        <f t="shared" si="15"/>
        <v>0</v>
      </c>
      <c r="M12" s="8">
        <f t="shared" si="15"/>
        <v>0</v>
      </c>
      <c r="N12" s="8">
        <f t="shared" si="15"/>
        <v>0</v>
      </c>
      <c r="Q12" s="8">
        <f t="shared" ref="Q12:U12" si="16">Q4/Q$9</f>
        <v>0</v>
      </c>
      <c r="R12" s="8">
        <f t="shared" si="16"/>
        <v>1</v>
      </c>
      <c r="S12" s="8">
        <f t="shared" si="16"/>
        <v>0</v>
      </c>
      <c r="T12" s="8">
        <f t="shared" si="16"/>
        <v>0</v>
      </c>
      <c r="U12" s="8">
        <f t="shared" si="16"/>
        <v>0</v>
      </c>
      <c r="X12" s="8" t="e">
        <f t="shared" ref="X12:AB12" si="17">X4/X$9</f>
        <v>#NUM!</v>
      </c>
      <c r="Y12" s="8" t="e">
        <f t="shared" si="17"/>
        <v>#NUM!</v>
      </c>
      <c r="Z12" s="8" t="e">
        <f t="shared" si="17"/>
        <v>#NUM!</v>
      </c>
      <c r="AA12" s="8" t="e">
        <f t="shared" si="17"/>
        <v>#NUM!</v>
      </c>
      <c r="AB12" s="8" t="e">
        <f t="shared" si="17"/>
        <v>#NUM!</v>
      </c>
    </row>
    <row r="13" spans="2:28" hidden="1" x14ac:dyDescent="0.2">
      <c r="C13" s="8">
        <f t="shared" ref="C13:G13" si="18">C5/C$9</f>
        <v>0</v>
      </c>
      <c r="D13" s="8">
        <f t="shared" si="18"/>
        <v>0</v>
      </c>
      <c r="E13" s="8">
        <f t="shared" si="18"/>
        <v>1</v>
      </c>
      <c r="F13" s="8">
        <f t="shared" si="18"/>
        <v>0</v>
      </c>
      <c r="G13" s="8">
        <f t="shared" si="18"/>
        <v>0</v>
      </c>
      <c r="J13" s="8">
        <f t="shared" ref="J13:N13" si="19">J5/J$9</f>
        <v>0</v>
      </c>
      <c r="K13" s="8">
        <f t="shared" si="19"/>
        <v>0</v>
      </c>
      <c r="L13" s="8">
        <f t="shared" si="19"/>
        <v>1</v>
      </c>
      <c r="M13" s="8">
        <f t="shared" si="19"/>
        <v>0</v>
      </c>
      <c r="N13" s="8">
        <f t="shared" si="19"/>
        <v>0</v>
      </c>
      <c r="Q13" s="8">
        <f t="shared" ref="Q13:U13" si="20">Q5/Q$9</f>
        <v>0</v>
      </c>
      <c r="R13" s="8">
        <f t="shared" si="20"/>
        <v>0</v>
      </c>
      <c r="S13" s="8">
        <f t="shared" si="20"/>
        <v>1</v>
      </c>
      <c r="T13" s="8">
        <f t="shared" si="20"/>
        <v>0</v>
      </c>
      <c r="U13" s="8">
        <f t="shared" si="20"/>
        <v>0</v>
      </c>
      <c r="X13" s="8" t="e">
        <f t="shared" ref="X13:AB13" si="21">X5/X$9</f>
        <v>#NUM!</v>
      </c>
      <c r="Y13" s="8" t="e">
        <f t="shared" si="21"/>
        <v>#NUM!</v>
      </c>
      <c r="Z13" s="8" t="e">
        <f t="shared" si="21"/>
        <v>#NUM!</v>
      </c>
      <c r="AA13" s="8" t="e">
        <f t="shared" si="21"/>
        <v>#NUM!</v>
      </c>
      <c r="AB13" s="8" t="e">
        <f t="shared" si="21"/>
        <v>#NUM!</v>
      </c>
    </row>
    <row r="14" spans="2:28" hidden="1" x14ac:dyDescent="0.2">
      <c r="C14" s="8">
        <f t="shared" ref="C14:G14" si="22">C6/C$9</f>
        <v>0</v>
      </c>
      <c r="D14" s="8">
        <f t="shared" si="22"/>
        <v>0</v>
      </c>
      <c r="E14" s="8">
        <f t="shared" si="22"/>
        <v>0</v>
      </c>
      <c r="F14" s="8">
        <f t="shared" si="22"/>
        <v>1</v>
      </c>
      <c r="G14" s="8">
        <f t="shared" si="22"/>
        <v>0</v>
      </c>
      <c r="J14" s="8">
        <f t="shared" ref="J14:N14" si="23">J6/J$9</f>
        <v>0</v>
      </c>
      <c r="K14" s="8">
        <f t="shared" si="23"/>
        <v>0</v>
      </c>
      <c r="L14" s="8">
        <f t="shared" si="23"/>
        <v>0</v>
      </c>
      <c r="M14" s="8">
        <f t="shared" si="23"/>
        <v>1</v>
      </c>
      <c r="N14" s="8">
        <f t="shared" si="23"/>
        <v>0</v>
      </c>
      <c r="Q14" s="8">
        <f t="shared" ref="Q14:U14" si="24">Q6/Q$9</f>
        <v>0</v>
      </c>
      <c r="R14" s="8">
        <f t="shared" si="24"/>
        <v>0</v>
      </c>
      <c r="S14" s="8">
        <f t="shared" si="24"/>
        <v>0</v>
      </c>
      <c r="T14" s="8">
        <f t="shared" si="24"/>
        <v>1</v>
      </c>
      <c r="U14" s="8">
        <f t="shared" si="24"/>
        <v>0</v>
      </c>
      <c r="X14" s="8" t="e">
        <f t="shared" ref="X14:AB14" si="25">X6/X$9</f>
        <v>#NUM!</v>
      </c>
      <c r="Y14" s="8" t="e">
        <f t="shared" si="25"/>
        <v>#NUM!</v>
      </c>
      <c r="Z14" s="8" t="e">
        <f t="shared" si="25"/>
        <v>#NUM!</v>
      </c>
      <c r="AA14" s="8" t="e">
        <f t="shared" si="25"/>
        <v>#NUM!</v>
      </c>
      <c r="AB14" s="8" t="e">
        <f t="shared" si="25"/>
        <v>#NUM!</v>
      </c>
    </row>
    <row r="15" spans="2:28" hidden="1" x14ac:dyDescent="0.2">
      <c r="C15" s="8">
        <f t="shared" ref="C15:G15" si="26">C7/C$9</f>
        <v>0</v>
      </c>
      <c r="D15" s="8">
        <f t="shared" si="26"/>
        <v>0</v>
      </c>
      <c r="E15" s="8">
        <f t="shared" si="26"/>
        <v>0</v>
      </c>
      <c r="F15" s="8">
        <f t="shared" si="26"/>
        <v>0</v>
      </c>
      <c r="G15" s="8">
        <f t="shared" si="26"/>
        <v>1</v>
      </c>
      <c r="J15" s="8">
        <f t="shared" ref="J15:N15" si="27">J7/J$9</f>
        <v>0</v>
      </c>
      <c r="K15" s="8">
        <f t="shared" si="27"/>
        <v>0</v>
      </c>
      <c r="L15" s="8">
        <f t="shared" si="27"/>
        <v>0</v>
      </c>
      <c r="M15" s="8">
        <f t="shared" si="27"/>
        <v>0</v>
      </c>
      <c r="N15" s="8">
        <f t="shared" si="27"/>
        <v>1</v>
      </c>
      <c r="Q15" s="8">
        <f t="shared" ref="Q15:U15" si="28">Q7/Q$9</f>
        <v>0</v>
      </c>
      <c r="R15" s="8">
        <f t="shared" si="28"/>
        <v>0</v>
      </c>
      <c r="S15" s="8">
        <f t="shared" si="28"/>
        <v>0</v>
      </c>
      <c r="T15" s="8">
        <f t="shared" si="28"/>
        <v>0</v>
      </c>
      <c r="U15" s="8">
        <f t="shared" si="28"/>
        <v>1</v>
      </c>
      <c r="X15" s="8" t="e">
        <f t="shared" ref="X15:AB15" si="29">X7/X$9</f>
        <v>#NUM!</v>
      </c>
      <c r="Y15" s="8" t="e">
        <f t="shared" si="29"/>
        <v>#NUM!</v>
      </c>
      <c r="Z15" s="8" t="e">
        <f t="shared" si="29"/>
        <v>#NUM!</v>
      </c>
      <c r="AA15" s="8" t="e">
        <f t="shared" si="29"/>
        <v>#NUM!</v>
      </c>
      <c r="AB15" s="8" t="e">
        <f t="shared" si="29"/>
        <v>#NUM!</v>
      </c>
    </row>
    <row r="16" spans="2:28" hidden="1" x14ac:dyDescent="0.2"/>
    <row r="17" spans="3:28" x14ac:dyDescent="0.2">
      <c r="F17" s="8" t="str">
        <f>B3</f>
        <v>e1</v>
      </c>
      <c r="G17" s="8">
        <f>AVERAGE(C11:G11)</f>
        <v>0.2</v>
      </c>
      <c r="M17" s="8" t="str">
        <f>I3</f>
        <v>e1</v>
      </c>
      <c r="N17" s="8">
        <f>AVERAGE(J11:N11)</f>
        <v>0.2</v>
      </c>
      <c r="T17" s="8" t="str">
        <f>P3</f>
        <v>e1</v>
      </c>
      <c r="U17" s="8">
        <f>AVERAGE(Q11:U11)</f>
        <v>0.2</v>
      </c>
      <c r="AA17" s="8" t="str">
        <f>W3</f>
        <v>e1</v>
      </c>
      <c r="AB17" s="8" t="e">
        <f>AVERAGE(X11:AB11)</f>
        <v>#NUM!</v>
      </c>
    </row>
    <row r="18" spans="3:28" x14ac:dyDescent="0.2">
      <c r="F18" s="8" t="str">
        <f t="shared" ref="F18:F21" si="30">B4</f>
        <v>e2</v>
      </c>
      <c r="G18" s="8">
        <f t="shared" ref="G18:G21" si="31">AVERAGE(C12:G12)</f>
        <v>0.2</v>
      </c>
      <c r="M18" s="8" t="str">
        <f t="shared" ref="M18:M21" si="32">I4</f>
        <v>e2</v>
      </c>
      <c r="N18" s="8">
        <f t="shared" ref="N18:N21" si="33">AVERAGE(J12:N12)</f>
        <v>0.2</v>
      </c>
      <c r="T18" s="8" t="str">
        <f t="shared" ref="T18:T21" si="34">P4</f>
        <v>e2</v>
      </c>
      <c r="U18" s="8">
        <f t="shared" ref="U18:U21" si="35">AVERAGE(Q12:U12)</f>
        <v>0.2</v>
      </c>
      <c r="AA18" s="8" t="str">
        <f t="shared" ref="AA18:AA21" si="36">W4</f>
        <v>e2</v>
      </c>
      <c r="AB18" s="8" t="e">
        <f t="shared" ref="AB18:AB21" si="37">AVERAGE(X12:AB12)</f>
        <v>#NUM!</v>
      </c>
    </row>
    <row r="19" spans="3:28" x14ac:dyDescent="0.2">
      <c r="F19" s="8" t="str">
        <f t="shared" si="30"/>
        <v>e3</v>
      </c>
      <c r="G19" s="8">
        <f t="shared" si="31"/>
        <v>0.2</v>
      </c>
      <c r="M19" s="8" t="str">
        <f t="shared" si="32"/>
        <v>e3</v>
      </c>
      <c r="N19" s="8">
        <f t="shared" si="33"/>
        <v>0.2</v>
      </c>
      <c r="T19" s="8" t="str">
        <f t="shared" si="34"/>
        <v>e3</v>
      </c>
      <c r="U19" s="8">
        <f t="shared" si="35"/>
        <v>0.2</v>
      </c>
      <c r="AA19" s="8" t="str">
        <f t="shared" si="36"/>
        <v>e3</v>
      </c>
      <c r="AB19" s="8" t="e">
        <f t="shared" si="37"/>
        <v>#NUM!</v>
      </c>
    </row>
    <row r="20" spans="3:28" x14ac:dyDescent="0.2">
      <c r="F20" s="8" t="str">
        <f t="shared" si="30"/>
        <v>e4</v>
      </c>
      <c r="G20" s="8">
        <f t="shared" si="31"/>
        <v>0.2</v>
      </c>
      <c r="M20" s="8" t="str">
        <f t="shared" si="32"/>
        <v>e4</v>
      </c>
      <c r="N20" s="8">
        <f t="shared" si="33"/>
        <v>0.2</v>
      </c>
      <c r="T20" s="8" t="str">
        <f t="shared" si="34"/>
        <v>e4</v>
      </c>
      <c r="U20" s="8">
        <f t="shared" si="35"/>
        <v>0.2</v>
      </c>
      <c r="AA20" s="8" t="str">
        <f t="shared" si="36"/>
        <v>e4</v>
      </c>
      <c r="AB20" s="8" t="e">
        <f t="shared" si="37"/>
        <v>#NUM!</v>
      </c>
    </row>
    <row r="21" spans="3:28" x14ac:dyDescent="0.2">
      <c r="F21" s="8" t="str">
        <f t="shared" si="30"/>
        <v>e5</v>
      </c>
      <c r="G21" s="8">
        <f t="shared" si="31"/>
        <v>0.2</v>
      </c>
      <c r="M21" s="8" t="str">
        <f t="shared" si="32"/>
        <v>e5</v>
      </c>
      <c r="N21" s="8">
        <f t="shared" si="33"/>
        <v>0.2</v>
      </c>
      <c r="T21" s="8" t="str">
        <f t="shared" si="34"/>
        <v>e5</v>
      </c>
      <c r="U21" s="8">
        <f t="shared" si="35"/>
        <v>0.2</v>
      </c>
      <c r="AA21" s="8" t="str">
        <f t="shared" si="36"/>
        <v>e5</v>
      </c>
      <c r="AB21" s="8" t="e">
        <f t="shared" si="37"/>
        <v>#NUM!</v>
      </c>
    </row>
    <row r="23" spans="3:28" hidden="1" x14ac:dyDescent="0.2"/>
    <row r="24" spans="3:28" hidden="1" x14ac:dyDescent="0.2">
      <c r="C24" s="8">
        <f>C3*G$17</f>
        <v>0.2</v>
      </c>
      <c r="D24" s="8">
        <f>D3*G$18</f>
        <v>0</v>
      </c>
      <c r="E24" s="8">
        <f>E3*G$19</f>
        <v>0</v>
      </c>
      <c r="F24" s="8">
        <f>F3*G$20</f>
        <v>0</v>
      </c>
      <c r="G24" s="8">
        <f>G3*G$21</f>
        <v>0</v>
      </c>
      <c r="J24" s="8">
        <f>J3*N$17</f>
        <v>0.2</v>
      </c>
      <c r="K24" s="8">
        <f>K3*N$18</f>
        <v>0</v>
      </c>
      <c r="L24" s="8">
        <f>L3*N$19</f>
        <v>0</v>
      </c>
      <c r="M24" s="8">
        <f>M3*N$20</f>
        <v>0</v>
      </c>
      <c r="N24" s="8">
        <f>N3*N$21</f>
        <v>0</v>
      </c>
      <c r="Q24" s="8">
        <f>Q3*U$17</f>
        <v>0.2</v>
      </c>
      <c r="R24" s="8">
        <f>R3*U$18</f>
        <v>0</v>
      </c>
      <c r="S24" s="8">
        <f>S3*U$19</f>
        <v>0</v>
      </c>
      <c r="T24" s="8">
        <f>T3*U$20</f>
        <v>0</v>
      </c>
      <c r="U24" s="8">
        <f>U3*U$21</f>
        <v>0</v>
      </c>
      <c r="X24" s="8" t="e">
        <f>X3*AB$17</f>
        <v>#NUM!</v>
      </c>
      <c r="Y24" s="8" t="e">
        <f>Y3*AB$18</f>
        <v>#NUM!</v>
      </c>
      <c r="Z24" s="8" t="e">
        <f>Z3*AB$19</f>
        <v>#NUM!</v>
      </c>
      <c r="AA24" s="8" t="e">
        <f>AA3*AB$20</f>
        <v>#NUM!</v>
      </c>
      <c r="AB24" s="8" t="e">
        <f>AB3*AB$21</f>
        <v>#NUM!</v>
      </c>
    </row>
    <row r="25" spans="3:28" hidden="1" x14ac:dyDescent="0.2">
      <c r="C25" s="8">
        <f t="shared" ref="C25:C28" si="38">C4*G$17</f>
        <v>0</v>
      </c>
      <c r="D25" s="8">
        <f t="shared" ref="D25:D28" si="39">D4*G$18</f>
        <v>0.2</v>
      </c>
      <c r="E25" s="8">
        <f t="shared" ref="E25:E28" si="40">E4*G$19</f>
        <v>0</v>
      </c>
      <c r="F25" s="8">
        <f t="shared" ref="F25:F28" si="41">F4*G$20</f>
        <v>0</v>
      </c>
      <c r="G25" s="8">
        <f t="shared" ref="G25:G28" si="42">G4*G$21</f>
        <v>0</v>
      </c>
      <c r="J25" s="8">
        <f t="shared" ref="J25:J28" si="43">J4*N$17</f>
        <v>0</v>
      </c>
      <c r="K25" s="8">
        <f t="shared" ref="K25:K28" si="44">K4*N$18</f>
        <v>0.2</v>
      </c>
      <c r="L25" s="8">
        <f t="shared" ref="L25:L28" si="45">L4*N$19</f>
        <v>0</v>
      </c>
      <c r="M25" s="8">
        <f t="shared" ref="M25:M28" si="46">M4*N$20</f>
        <v>0</v>
      </c>
      <c r="N25" s="8">
        <f t="shared" ref="N25:N28" si="47">N4*N$21</f>
        <v>0</v>
      </c>
      <c r="Q25" s="8">
        <f t="shared" ref="Q25:Q28" si="48">Q4*U$17</f>
        <v>0</v>
      </c>
      <c r="R25" s="8">
        <f t="shared" ref="R25:R28" si="49">R4*U$18</f>
        <v>0.2</v>
      </c>
      <c r="S25" s="8">
        <f t="shared" ref="S25:S28" si="50">S4*U$19</f>
        <v>0</v>
      </c>
      <c r="T25" s="8">
        <f t="shared" ref="T25:T28" si="51">T4*U$20</f>
        <v>0</v>
      </c>
      <c r="U25" s="8">
        <f t="shared" ref="U25:U28" si="52">U4*U$21</f>
        <v>0</v>
      </c>
      <c r="X25" s="8" t="e">
        <f t="shared" ref="X25:X28" si="53">X4*AB$17</f>
        <v>#NUM!</v>
      </c>
      <c r="Y25" s="8" t="e">
        <f t="shared" ref="Y25:Y28" si="54">Y4*AB$18</f>
        <v>#NUM!</v>
      </c>
      <c r="Z25" s="8" t="e">
        <f t="shared" ref="Z25:Z28" si="55">Z4*AB$19</f>
        <v>#NUM!</v>
      </c>
      <c r="AA25" s="8" t="e">
        <f t="shared" ref="AA25:AA28" si="56">AA4*AB$20</f>
        <v>#NUM!</v>
      </c>
      <c r="AB25" s="8" t="e">
        <f t="shared" ref="AB25:AB28" si="57">AB4*AB$21</f>
        <v>#NUM!</v>
      </c>
    </row>
    <row r="26" spans="3:28" hidden="1" x14ac:dyDescent="0.2">
      <c r="C26" s="8">
        <f t="shared" si="38"/>
        <v>0</v>
      </c>
      <c r="D26" s="8">
        <f t="shared" si="39"/>
        <v>0</v>
      </c>
      <c r="E26" s="8">
        <f t="shared" si="40"/>
        <v>0.2</v>
      </c>
      <c r="F26" s="8">
        <f t="shared" si="41"/>
        <v>0</v>
      </c>
      <c r="G26" s="8">
        <f t="shared" si="42"/>
        <v>0</v>
      </c>
      <c r="J26" s="8">
        <f t="shared" si="43"/>
        <v>0</v>
      </c>
      <c r="K26" s="8">
        <f t="shared" si="44"/>
        <v>0</v>
      </c>
      <c r="L26" s="8">
        <f t="shared" si="45"/>
        <v>0.2</v>
      </c>
      <c r="M26" s="8">
        <f t="shared" si="46"/>
        <v>0</v>
      </c>
      <c r="N26" s="8">
        <f t="shared" si="47"/>
        <v>0</v>
      </c>
      <c r="Q26" s="8">
        <f t="shared" si="48"/>
        <v>0</v>
      </c>
      <c r="R26" s="8">
        <f t="shared" si="49"/>
        <v>0</v>
      </c>
      <c r="S26" s="8">
        <f t="shared" si="50"/>
        <v>0.2</v>
      </c>
      <c r="T26" s="8">
        <f t="shared" si="51"/>
        <v>0</v>
      </c>
      <c r="U26" s="8">
        <f t="shared" si="52"/>
        <v>0</v>
      </c>
      <c r="X26" s="8" t="e">
        <f t="shared" si="53"/>
        <v>#NUM!</v>
      </c>
      <c r="Y26" s="8" t="e">
        <f t="shared" si="54"/>
        <v>#NUM!</v>
      </c>
      <c r="Z26" s="8" t="e">
        <f t="shared" si="55"/>
        <v>#NUM!</v>
      </c>
      <c r="AA26" s="8" t="e">
        <f t="shared" si="56"/>
        <v>#NUM!</v>
      </c>
      <c r="AB26" s="8" t="e">
        <f t="shared" si="57"/>
        <v>#NUM!</v>
      </c>
    </row>
    <row r="27" spans="3:28" hidden="1" x14ac:dyDescent="0.2">
      <c r="C27" s="8">
        <f t="shared" si="38"/>
        <v>0</v>
      </c>
      <c r="D27" s="8">
        <f t="shared" si="39"/>
        <v>0</v>
      </c>
      <c r="E27" s="8">
        <f t="shared" si="40"/>
        <v>0</v>
      </c>
      <c r="F27" s="8">
        <f t="shared" si="41"/>
        <v>0.2</v>
      </c>
      <c r="G27" s="8">
        <f t="shared" si="42"/>
        <v>0</v>
      </c>
      <c r="J27" s="8">
        <f t="shared" si="43"/>
        <v>0</v>
      </c>
      <c r="K27" s="8">
        <f t="shared" si="44"/>
        <v>0</v>
      </c>
      <c r="L27" s="8">
        <f t="shared" si="45"/>
        <v>0</v>
      </c>
      <c r="M27" s="8">
        <f t="shared" si="46"/>
        <v>0.2</v>
      </c>
      <c r="N27" s="8">
        <f t="shared" si="47"/>
        <v>0</v>
      </c>
      <c r="Q27" s="8">
        <f t="shared" si="48"/>
        <v>0</v>
      </c>
      <c r="R27" s="8">
        <f t="shared" si="49"/>
        <v>0</v>
      </c>
      <c r="S27" s="8">
        <f t="shared" si="50"/>
        <v>0</v>
      </c>
      <c r="T27" s="8">
        <f t="shared" si="51"/>
        <v>0.2</v>
      </c>
      <c r="U27" s="8">
        <f t="shared" si="52"/>
        <v>0</v>
      </c>
      <c r="X27" s="8" t="e">
        <f t="shared" si="53"/>
        <v>#NUM!</v>
      </c>
      <c r="Y27" s="8" t="e">
        <f t="shared" si="54"/>
        <v>#NUM!</v>
      </c>
      <c r="Z27" s="8" t="e">
        <f t="shared" si="55"/>
        <v>#NUM!</v>
      </c>
      <c r="AA27" s="8" t="e">
        <f t="shared" si="56"/>
        <v>#NUM!</v>
      </c>
      <c r="AB27" s="8" t="e">
        <f t="shared" si="57"/>
        <v>#NUM!</v>
      </c>
    </row>
    <row r="28" spans="3:28" hidden="1" x14ac:dyDescent="0.2">
      <c r="C28" s="8">
        <f t="shared" si="38"/>
        <v>0</v>
      </c>
      <c r="D28" s="8">
        <f t="shared" si="39"/>
        <v>0</v>
      </c>
      <c r="E28" s="8">
        <f t="shared" si="40"/>
        <v>0</v>
      </c>
      <c r="F28" s="8">
        <f t="shared" si="41"/>
        <v>0</v>
      </c>
      <c r="G28" s="8">
        <f t="shared" si="42"/>
        <v>0.2</v>
      </c>
      <c r="J28" s="8">
        <f t="shared" si="43"/>
        <v>0</v>
      </c>
      <c r="K28" s="8">
        <f t="shared" si="44"/>
        <v>0</v>
      </c>
      <c r="L28" s="8">
        <f t="shared" si="45"/>
        <v>0</v>
      </c>
      <c r="M28" s="8">
        <f t="shared" si="46"/>
        <v>0</v>
      </c>
      <c r="N28" s="8">
        <f t="shared" si="47"/>
        <v>0.2</v>
      </c>
      <c r="Q28" s="8">
        <f t="shared" si="48"/>
        <v>0</v>
      </c>
      <c r="R28" s="8">
        <f t="shared" si="49"/>
        <v>0</v>
      </c>
      <c r="S28" s="8">
        <f t="shared" si="50"/>
        <v>0</v>
      </c>
      <c r="T28" s="8">
        <f t="shared" si="51"/>
        <v>0</v>
      </c>
      <c r="U28" s="8">
        <f t="shared" si="52"/>
        <v>0.2</v>
      </c>
      <c r="X28" s="8" t="e">
        <f t="shared" si="53"/>
        <v>#NUM!</v>
      </c>
      <c r="Y28" s="8" t="e">
        <f t="shared" si="54"/>
        <v>#NUM!</v>
      </c>
      <c r="Z28" s="8" t="e">
        <f t="shared" si="55"/>
        <v>#NUM!</v>
      </c>
      <c r="AA28" s="8" t="e">
        <f t="shared" si="56"/>
        <v>#NUM!</v>
      </c>
      <c r="AB28" s="8" t="e">
        <f t="shared" si="57"/>
        <v>#NUM!</v>
      </c>
    </row>
    <row r="29" spans="3:28" hidden="1" x14ac:dyDescent="0.2"/>
    <row r="30" spans="3:28" hidden="1" x14ac:dyDescent="0.2">
      <c r="C30" s="8">
        <f>SUM(C24:G24)</f>
        <v>0.2</v>
      </c>
      <c r="E30" s="8">
        <f>G17</f>
        <v>0.2</v>
      </c>
      <c r="G30" s="8">
        <f>C30/E30</f>
        <v>1</v>
      </c>
      <c r="J30" s="8">
        <f>SUM(J24:N24)</f>
        <v>0.2</v>
      </c>
      <c r="L30" s="8">
        <f>N17</f>
        <v>0.2</v>
      </c>
      <c r="N30" s="8">
        <f>J30/L30</f>
        <v>1</v>
      </c>
      <c r="Q30" s="8">
        <f>SUM(Q24:U24)</f>
        <v>0.2</v>
      </c>
      <c r="S30" s="8">
        <f>U17</f>
        <v>0.2</v>
      </c>
      <c r="U30" s="8">
        <f>Q30/S30</f>
        <v>1</v>
      </c>
      <c r="X30" s="8" t="e">
        <f>SUM(X24:AB24)</f>
        <v>#NUM!</v>
      </c>
      <c r="Z30" s="8" t="e">
        <f>AB17</f>
        <v>#NUM!</v>
      </c>
      <c r="AB30" s="8" t="e">
        <f>X30/Z30</f>
        <v>#NUM!</v>
      </c>
    </row>
    <row r="31" spans="3:28" hidden="1" x14ac:dyDescent="0.2">
      <c r="C31" s="8">
        <f t="shared" ref="C31:C34" si="58">SUM(C25:G25)</f>
        <v>0.2</v>
      </c>
      <c r="E31" s="8">
        <f t="shared" ref="E31:E34" si="59">G18</f>
        <v>0.2</v>
      </c>
      <c r="G31" s="8">
        <f t="shared" ref="G31:G34" si="60">C31/E31</f>
        <v>1</v>
      </c>
      <c r="J31" s="8">
        <f t="shared" ref="J31:J34" si="61">SUM(J25:N25)</f>
        <v>0.2</v>
      </c>
      <c r="L31" s="8">
        <f t="shared" ref="L31:L34" si="62">N18</f>
        <v>0.2</v>
      </c>
      <c r="N31" s="8">
        <f t="shared" ref="N31:N34" si="63">J31/L31</f>
        <v>1</v>
      </c>
      <c r="Q31" s="8">
        <f t="shared" ref="Q31:Q34" si="64">SUM(Q25:U25)</f>
        <v>0.2</v>
      </c>
      <c r="S31" s="8">
        <f t="shared" ref="S31:S34" si="65">U18</f>
        <v>0.2</v>
      </c>
      <c r="U31" s="8">
        <f t="shared" ref="U31:U34" si="66">Q31/S31</f>
        <v>1</v>
      </c>
      <c r="X31" s="8" t="e">
        <f t="shared" ref="X31:X34" si="67">SUM(X25:AB25)</f>
        <v>#NUM!</v>
      </c>
      <c r="Z31" s="8" t="e">
        <f t="shared" ref="Z31:Z34" si="68">AB18</f>
        <v>#NUM!</v>
      </c>
      <c r="AB31" s="8" t="e">
        <f t="shared" ref="AB31:AB34" si="69">X31/Z31</f>
        <v>#NUM!</v>
      </c>
    </row>
    <row r="32" spans="3:28" hidden="1" x14ac:dyDescent="0.2">
      <c r="C32" s="8">
        <f t="shared" si="58"/>
        <v>0.2</v>
      </c>
      <c r="E32" s="8">
        <f t="shared" si="59"/>
        <v>0.2</v>
      </c>
      <c r="G32" s="8">
        <f t="shared" si="60"/>
        <v>1</v>
      </c>
      <c r="J32" s="8">
        <f t="shared" si="61"/>
        <v>0.2</v>
      </c>
      <c r="L32" s="8">
        <f t="shared" si="62"/>
        <v>0.2</v>
      </c>
      <c r="N32" s="8">
        <f t="shared" si="63"/>
        <v>1</v>
      </c>
      <c r="Q32" s="8">
        <f t="shared" si="64"/>
        <v>0.2</v>
      </c>
      <c r="S32" s="8">
        <f t="shared" si="65"/>
        <v>0.2</v>
      </c>
      <c r="U32" s="8">
        <f t="shared" si="66"/>
        <v>1</v>
      </c>
      <c r="X32" s="8" t="e">
        <f t="shared" si="67"/>
        <v>#NUM!</v>
      </c>
      <c r="Z32" s="8" t="e">
        <f t="shared" si="68"/>
        <v>#NUM!</v>
      </c>
      <c r="AB32" s="8" t="e">
        <f t="shared" si="69"/>
        <v>#NUM!</v>
      </c>
    </row>
    <row r="33" spans="3:28" hidden="1" x14ac:dyDescent="0.2">
      <c r="C33" s="8">
        <f t="shared" si="58"/>
        <v>0.2</v>
      </c>
      <c r="E33" s="8">
        <f t="shared" si="59"/>
        <v>0.2</v>
      </c>
      <c r="G33" s="8">
        <f t="shared" si="60"/>
        <v>1</v>
      </c>
      <c r="J33" s="8">
        <f t="shared" si="61"/>
        <v>0.2</v>
      </c>
      <c r="L33" s="8">
        <f t="shared" si="62"/>
        <v>0.2</v>
      </c>
      <c r="N33" s="8">
        <f t="shared" si="63"/>
        <v>1</v>
      </c>
      <c r="Q33" s="8">
        <f t="shared" si="64"/>
        <v>0.2</v>
      </c>
      <c r="S33" s="8">
        <f t="shared" si="65"/>
        <v>0.2</v>
      </c>
      <c r="U33" s="8">
        <f t="shared" si="66"/>
        <v>1</v>
      </c>
      <c r="X33" s="8" t="e">
        <f t="shared" si="67"/>
        <v>#NUM!</v>
      </c>
      <c r="Z33" s="8" t="e">
        <f t="shared" si="68"/>
        <v>#NUM!</v>
      </c>
      <c r="AB33" s="8" t="e">
        <f t="shared" si="69"/>
        <v>#NUM!</v>
      </c>
    </row>
    <row r="34" spans="3:28" hidden="1" x14ac:dyDescent="0.2">
      <c r="C34" s="8">
        <f t="shared" si="58"/>
        <v>0.2</v>
      </c>
      <c r="E34" s="8">
        <f t="shared" si="59"/>
        <v>0.2</v>
      </c>
      <c r="G34" s="10">
        <f t="shared" si="60"/>
        <v>1</v>
      </c>
      <c r="J34" s="8">
        <f t="shared" si="61"/>
        <v>0.2</v>
      </c>
      <c r="L34" s="8">
        <f t="shared" si="62"/>
        <v>0.2</v>
      </c>
      <c r="N34" s="10">
        <f t="shared" si="63"/>
        <v>1</v>
      </c>
      <c r="Q34" s="8">
        <f t="shared" si="64"/>
        <v>0.2</v>
      </c>
      <c r="S34" s="8">
        <f t="shared" si="65"/>
        <v>0.2</v>
      </c>
      <c r="U34" s="10">
        <f t="shared" si="66"/>
        <v>1</v>
      </c>
      <c r="X34" s="8" t="e">
        <f t="shared" si="67"/>
        <v>#NUM!</v>
      </c>
      <c r="Z34" s="8" t="e">
        <f t="shared" si="68"/>
        <v>#NUM!</v>
      </c>
      <c r="AB34" s="10" t="e">
        <f t="shared" si="69"/>
        <v>#NUM!</v>
      </c>
    </row>
    <row r="35" spans="3:28" hidden="1" x14ac:dyDescent="0.2">
      <c r="F35" s="8"/>
      <c r="G35" s="8"/>
      <c r="M35" s="8"/>
      <c r="N35" s="8"/>
      <c r="T35" s="8"/>
      <c r="U35" s="8"/>
      <c r="AA35" s="8"/>
      <c r="AB35" s="8"/>
    </row>
    <row r="36" spans="3:28" hidden="1" x14ac:dyDescent="0.2">
      <c r="F36" s="8" t="s">
        <v>20</v>
      </c>
      <c r="G36" s="8">
        <f>AVERAGE(G30:G34)</f>
        <v>1</v>
      </c>
      <c r="M36" s="8" t="s">
        <v>20</v>
      </c>
      <c r="N36" s="8">
        <f>AVERAGE(N30:N34)</f>
        <v>1</v>
      </c>
      <c r="T36" s="8" t="s">
        <v>20</v>
      </c>
      <c r="U36" s="8">
        <f>AVERAGE(U30:U34)</f>
        <v>1</v>
      </c>
      <c r="AA36" s="8" t="s">
        <v>20</v>
      </c>
      <c r="AB36" s="8" t="e">
        <f>AVERAGE(AB30:AB34)</f>
        <v>#NUM!</v>
      </c>
    </row>
    <row r="37" spans="3:28" hidden="1" x14ac:dyDescent="0.2">
      <c r="F37" s="8" t="s">
        <v>21</v>
      </c>
      <c r="G37" s="8">
        <f>(G36-5)/4</f>
        <v>-1</v>
      </c>
      <c r="M37" s="8" t="s">
        <v>21</v>
      </c>
      <c r="N37" s="8">
        <f>(N36-5)/4</f>
        <v>-1</v>
      </c>
      <c r="T37" s="8" t="s">
        <v>21</v>
      </c>
      <c r="U37" s="8">
        <f>(U36-5)/4</f>
        <v>-1</v>
      </c>
      <c r="AA37" s="8" t="s">
        <v>21</v>
      </c>
      <c r="AB37" s="8" t="e">
        <f>(AB36-5)/4</f>
        <v>#NUM!</v>
      </c>
    </row>
    <row r="38" spans="3:28" x14ac:dyDescent="0.2">
      <c r="F38" s="8" t="s">
        <v>22</v>
      </c>
      <c r="G38" s="8">
        <f>G37/1.11</f>
        <v>-0.9009009009009008</v>
      </c>
      <c r="M38" s="8" t="s">
        <v>22</v>
      </c>
      <c r="N38" s="8">
        <f>N37/1.11</f>
        <v>-0.9009009009009008</v>
      </c>
      <c r="T38" s="8" t="s">
        <v>22</v>
      </c>
      <c r="U38" s="8">
        <f>U37/1.11</f>
        <v>-0.9009009009009008</v>
      </c>
      <c r="AA38" s="8" t="s">
        <v>22</v>
      </c>
      <c r="AB38" s="8" t="e">
        <f>AB37/1.11</f>
        <v>#NUM!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C480-8EAD-4741-9F9B-86F00F1984F3}">
  <dimension ref="B2:AF43"/>
  <sheetViews>
    <sheetView zoomScale="50" zoomScaleNormal="85" workbookViewId="0">
      <selection activeCell="H92" sqref="H92"/>
    </sheetView>
  </sheetViews>
  <sheetFormatPr baseColWidth="10" defaultColWidth="8.83203125" defaultRowHeight="15" x14ac:dyDescent="0.2"/>
  <sheetData>
    <row r="2" spans="2:32" x14ac:dyDescent="0.2">
      <c r="B2" s="8"/>
      <c r="C2" s="22" t="str">
        <f>B3</f>
        <v>e1</v>
      </c>
      <c r="D2" s="22" t="str">
        <f>B4</f>
        <v>e2</v>
      </c>
      <c r="E2" s="22" t="str">
        <f>B5</f>
        <v>e3</v>
      </c>
      <c r="F2" s="22" t="str">
        <f>B6</f>
        <v>e4</v>
      </c>
      <c r="G2" s="22" t="str">
        <f>B7</f>
        <v>e5</v>
      </c>
      <c r="H2" s="22" t="s">
        <v>95</v>
      </c>
      <c r="J2" s="8"/>
      <c r="K2" s="22" t="str">
        <f>J3</f>
        <v>e1</v>
      </c>
      <c r="L2" s="22" t="str">
        <f>J4</f>
        <v>e2</v>
      </c>
      <c r="M2" s="22" t="str">
        <f>J5</f>
        <v>e3</v>
      </c>
      <c r="N2" s="22" t="str">
        <f>J6</f>
        <v>e4</v>
      </c>
      <c r="O2" s="22" t="str">
        <f>J7</f>
        <v>e5</v>
      </c>
      <c r="P2" s="22" t="s">
        <v>95</v>
      </c>
      <c r="R2" s="8"/>
      <c r="S2" s="22" t="str">
        <f>R3</f>
        <v>e1</v>
      </c>
      <c r="T2" s="22" t="str">
        <f>R4</f>
        <v>e2</v>
      </c>
      <c r="U2" s="22" t="str">
        <f>R5</f>
        <v>e3</v>
      </c>
      <c r="V2" s="22" t="str">
        <f>R6</f>
        <v>e4</v>
      </c>
      <c r="W2" s="22" t="str">
        <f>R7</f>
        <v>e5</v>
      </c>
      <c r="X2" s="22" t="s">
        <v>95</v>
      </c>
      <c r="Z2" s="8"/>
      <c r="AA2" s="22" t="str">
        <f>Z3</f>
        <v>e1</v>
      </c>
      <c r="AB2" s="22" t="str">
        <f>Z4</f>
        <v>e2</v>
      </c>
      <c r="AC2" s="22" t="str">
        <f>Z5</f>
        <v>e3</v>
      </c>
      <c r="AD2" s="22" t="str">
        <f>Z6</f>
        <v>e4</v>
      </c>
      <c r="AE2" s="22" t="str">
        <f>Z7</f>
        <v>e5</v>
      </c>
      <c r="AF2" s="22" t="s">
        <v>95</v>
      </c>
    </row>
    <row r="3" spans="2:32" x14ac:dyDescent="0.2">
      <c r="B3" s="9" t="s">
        <v>16</v>
      </c>
      <c r="C3" s="8">
        <v>1</v>
      </c>
      <c r="D3" s="8"/>
      <c r="E3" s="8"/>
      <c r="F3" s="8"/>
      <c r="G3" s="8"/>
      <c r="H3" s="8"/>
      <c r="J3" s="9" t="s">
        <v>16</v>
      </c>
      <c r="K3" s="8">
        <v>1</v>
      </c>
      <c r="L3" s="8"/>
      <c r="M3" s="8"/>
      <c r="N3" s="8"/>
      <c r="O3" s="8"/>
      <c r="P3" s="8"/>
      <c r="R3" s="9" t="s">
        <v>16</v>
      </c>
      <c r="S3" s="8">
        <v>1</v>
      </c>
      <c r="T3" s="8"/>
      <c r="U3" s="8"/>
      <c r="V3" s="8"/>
      <c r="W3" s="8"/>
      <c r="X3" s="8"/>
      <c r="Z3" s="9" t="s">
        <v>16</v>
      </c>
      <c r="AA3" s="8">
        <f>GEOMEAN(C3,K3,S3)</f>
        <v>1</v>
      </c>
      <c r="AB3" s="8" t="e">
        <f t="shared" ref="AB3:AF8" si="0">GEOMEAN(D3,L3,T3)</f>
        <v>#NUM!</v>
      </c>
      <c r="AC3" s="8" t="e">
        <f t="shared" si="0"/>
        <v>#NUM!</v>
      </c>
      <c r="AD3" s="8" t="e">
        <f t="shared" si="0"/>
        <v>#NUM!</v>
      </c>
      <c r="AE3" s="8" t="e">
        <f t="shared" si="0"/>
        <v>#NUM!</v>
      </c>
      <c r="AF3" s="8" t="e">
        <f t="shared" si="0"/>
        <v>#NUM!</v>
      </c>
    </row>
    <row r="4" spans="2:32" x14ac:dyDescent="0.2">
      <c r="B4" s="9" t="s">
        <v>17</v>
      </c>
      <c r="C4" s="8"/>
      <c r="D4" s="8">
        <v>1</v>
      </c>
      <c r="E4" s="8"/>
      <c r="F4" s="8"/>
      <c r="G4" s="8"/>
      <c r="H4" s="8"/>
      <c r="J4" s="9" t="s">
        <v>17</v>
      </c>
      <c r="K4" s="8"/>
      <c r="L4" s="8">
        <v>1</v>
      </c>
      <c r="M4" s="8"/>
      <c r="N4" s="8"/>
      <c r="O4" s="8"/>
      <c r="P4" s="8"/>
      <c r="R4" s="9" t="s">
        <v>17</v>
      </c>
      <c r="S4" s="8"/>
      <c r="T4" s="8">
        <v>1</v>
      </c>
      <c r="U4" s="8"/>
      <c r="V4" s="8"/>
      <c r="W4" s="8"/>
      <c r="X4" s="8"/>
      <c r="Z4" s="9" t="s">
        <v>17</v>
      </c>
      <c r="AA4" s="8" t="e">
        <f t="shared" ref="AA4:AA8" si="1">GEOMEAN(C4,K4,S4)</f>
        <v>#NUM!</v>
      </c>
      <c r="AB4" s="8">
        <f t="shared" si="0"/>
        <v>1</v>
      </c>
      <c r="AC4" s="8" t="e">
        <f t="shared" si="0"/>
        <v>#NUM!</v>
      </c>
      <c r="AD4" s="8" t="e">
        <f t="shared" si="0"/>
        <v>#NUM!</v>
      </c>
      <c r="AE4" s="8" t="e">
        <f t="shared" si="0"/>
        <v>#NUM!</v>
      </c>
      <c r="AF4" s="8" t="e">
        <f t="shared" si="0"/>
        <v>#NUM!</v>
      </c>
    </row>
    <row r="5" spans="2:32" x14ac:dyDescent="0.2">
      <c r="B5" s="9" t="s">
        <v>18</v>
      </c>
      <c r="C5" s="8"/>
      <c r="D5" s="8"/>
      <c r="E5" s="8">
        <v>1</v>
      </c>
      <c r="F5" s="8"/>
      <c r="G5" s="8"/>
      <c r="H5" s="8"/>
      <c r="J5" s="9" t="s">
        <v>18</v>
      </c>
      <c r="K5" s="8"/>
      <c r="L5" s="8"/>
      <c r="M5" s="8">
        <v>1</v>
      </c>
      <c r="N5" s="8"/>
      <c r="O5" s="8"/>
      <c r="P5" s="8"/>
      <c r="R5" s="9" t="s">
        <v>18</v>
      </c>
      <c r="S5" s="8"/>
      <c r="T5" s="8"/>
      <c r="U5" s="8">
        <v>1</v>
      </c>
      <c r="V5" s="8"/>
      <c r="W5" s="8"/>
      <c r="X5" s="8"/>
      <c r="Z5" s="9" t="s">
        <v>18</v>
      </c>
      <c r="AA5" s="8" t="e">
        <f t="shared" si="1"/>
        <v>#NUM!</v>
      </c>
      <c r="AB5" s="8" t="e">
        <f t="shared" si="0"/>
        <v>#NUM!</v>
      </c>
      <c r="AC5" s="8">
        <f t="shared" si="0"/>
        <v>1</v>
      </c>
      <c r="AD5" s="8" t="e">
        <f t="shared" si="0"/>
        <v>#NUM!</v>
      </c>
      <c r="AE5" s="8" t="e">
        <f t="shared" si="0"/>
        <v>#NUM!</v>
      </c>
      <c r="AF5" s="8" t="e">
        <f t="shared" si="0"/>
        <v>#NUM!</v>
      </c>
    </row>
    <row r="6" spans="2:32" x14ac:dyDescent="0.2">
      <c r="B6" s="9" t="s">
        <v>23</v>
      </c>
      <c r="C6" s="8"/>
      <c r="D6" s="8"/>
      <c r="E6" s="8"/>
      <c r="F6" s="8">
        <v>1</v>
      </c>
      <c r="G6" s="8"/>
      <c r="H6" s="8"/>
      <c r="J6" s="9" t="s">
        <v>23</v>
      </c>
      <c r="K6" s="8"/>
      <c r="L6" s="8"/>
      <c r="M6" s="8"/>
      <c r="N6" s="8">
        <v>1</v>
      </c>
      <c r="O6" s="8"/>
      <c r="P6" s="8"/>
      <c r="R6" s="9" t="s">
        <v>23</v>
      </c>
      <c r="S6" s="8"/>
      <c r="T6" s="8"/>
      <c r="U6" s="8"/>
      <c r="V6" s="8">
        <v>1</v>
      </c>
      <c r="W6" s="8"/>
      <c r="X6" s="8"/>
      <c r="Z6" s="9" t="s">
        <v>23</v>
      </c>
      <c r="AA6" s="8" t="e">
        <f t="shared" si="1"/>
        <v>#NUM!</v>
      </c>
      <c r="AB6" s="8" t="e">
        <f t="shared" si="0"/>
        <v>#NUM!</v>
      </c>
      <c r="AC6" s="8" t="e">
        <f t="shared" si="0"/>
        <v>#NUM!</v>
      </c>
      <c r="AD6" s="8">
        <f t="shared" si="0"/>
        <v>1</v>
      </c>
      <c r="AE6" s="8" t="e">
        <f t="shared" si="0"/>
        <v>#NUM!</v>
      </c>
      <c r="AF6" s="8" t="e">
        <f t="shared" si="0"/>
        <v>#NUM!</v>
      </c>
    </row>
    <row r="7" spans="2:32" x14ac:dyDescent="0.2">
      <c r="B7" s="9" t="s">
        <v>24</v>
      </c>
      <c r="C7" s="8"/>
      <c r="D7" s="8"/>
      <c r="E7" s="8"/>
      <c r="F7" s="8"/>
      <c r="G7" s="8">
        <v>1</v>
      </c>
      <c r="H7" s="8"/>
      <c r="J7" s="9" t="s">
        <v>24</v>
      </c>
      <c r="K7" s="8"/>
      <c r="L7" s="8"/>
      <c r="M7" s="8"/>
      <c r="N7" s="8"/>
      <c r="O7" s="8">
        <v>1</v>
      </c>
      <c r="P7" s="8"/>
      <c r="R7" s="9" t="s">
        <v>24</v>
      </c>
      <c r="S7" s="8"/>
      <c r="T7" s="8"/>
      <c r="U7" s="8"/>
      <c r="V7" s="8"/>
      <c r="W7" s="8">
        <v>1</v>
      </c>
      <c r="X7" s="8"/>
      <c r="Z7" s="9" t="s">
        <v>24</v>
      </c>
      <c r="AA7" s="8" t="e">
        <f t="shared" si="1"/>
        <v>#NUM!</v>
      </c>
      <c r="AB7" s="8" t="e">
        <f t="shared" si="0"/>
        <v>#NUM!</v>
      </c>
      <c r="AC7" s="8" t="e">
        <f t="shared" si="0"/>
        <v>#NUM!</v>
      </c>
      <c r="AD7" s="8" t="e">
        <f t="shared" si="0"/>
        <v>#NUM!</v>
      </c>
      <c r="AE7" s="8">
        <f t="shared" si="0"/>
        <v>1</v>
      </c>
      <c r="AF7" s="8" t="e">
        <f t="shared" si="0"/>
        <v>#NUM!</v>
      </c>
    </row>
    <row r="8" spans="2:32" x14ac:dyDescent="0.2">
      <c r="B8" s="9" t="s">
        <v>95</v>
      </c>
      <c r="C8" s="8"/>
      <c r="D8" s="8"/>
      <c r="E8" s="8"/>
      <c r="F8" s="8"/>
      <c r="G8" s="8"/>
      <c r="H8" s="8">
        <v>1</v>
      </c>
      <c r="J8" s="9" t="s">
        <v>95</v>
      </c>
      <c r="K8" s="8"/>
      <c r="L8" s="8"/>
      <c r="M8" s="8"/>
      <c r="N8" s="8"/>
      <c r="O8" s="8"/>
      <c r="P8" s="8">
        <v>1</v>
      </c>
      <c r="R8" s="9" t="s">
        <v>95</v>
      </c>
      <c r="S8" s="8"/>
      <c r="T8" s="8"/>
      <c r="U8" s="8"/>
      <c r="V8" s="8"/>
      <c r="W8" s="8"/>
      <c r="X8" s="8">
        <v>1</v>
      </c>
      <c r="Z8" s="9" t="s">
        <v>95</v>
      </c>
      <c r="AA8" s="8" t="e">
        <f t="shared" si="1"/>
        <v>#NUM!</v>
      </c>
      <c r="AB8" s="8" t="e">
        <f t="shared" si="0"/>
        <v>#NUM!</v>
      </c>
      <c r="AC8" s="8" t="e">
        <f t="shared" si="0"/>
        <v>#NUM!</v>
      </c>
      <c r="AD8" s="8" t="e">
        <f t="shared" si="0"/>
        <v>#NUM!</v>
      </c>
      <c r="AE8" s="8" t="e">
        <f t="shared" si="0"/>
        <v>#NUM!</v>
      </c>
      <c r="AF8" s="8">
        <f t="shared" si="0"/>
        <v>1</v>
      </c>
    </row>
    <row r="10" spans="2:32" hidden="1" x14ac:dyDescent="0.2">
      <c r="C10" s="8">
        <f>SUM(C3:C8)</f>
        <v>1</v>
      </c>
      <c r="D10" s="8">
        <f t="shared" ref="D10:H10" si="2">SUM(D3:D8)</f>
        <v>1</v>
      </c>
      <c r="E10" s="8">
        <f t="shared" si="2"/>
        <v>1</v>
      </c>
      <c r="F10" s="8">
        <f t="shared" si="2"/>
        <v>1</v>
      </c>
      <c r="G10" s="8">
        <f t="shared" si="2"/>
        <v>1</v>
      </c>
      <c r="H10" s="8">
        <f t="shared" si="2"/>
        <v>1</v>
      </c>
      <c r="K10" s="8">
        <f>SUM(K3:K8)</f>
        <v>1</v>
      </c>
      <c r="L10" s="8">
        <f t="shared" ref="L10:P10" si="3">SUM(L3:L8)</f>
        <v>1</v>
      </c>
      <c r="M10" s="8">
        <f t="shared" si="3"/>
        <v>1</v>
      </c>
      <c r="N10" s="8">
        <f t="shared" si="3"/>
        <v>1</v>
      </c>
      <c r="O10" s="8">
        <f t="shared" si="3"/>
        <v>1</v>
      </c>
      <c r="P10" s="8">
        <f t="shared" si="3"/>
        <v>1</v>
      </c>
      <c r="S10" s="8">
        <f>SUM(S3:S8)</f>
        <v>1</v>
      </c>
      <c r="T10" s="8">
        <f t="shared" ref="T10:X10" si="4">SUM(T3:T8)</f>
        <v>1</v>
      </c>
      <c r="U10" s="8">
        <f t="shared" si="4"/>
        <v>1</v>
      </c>
      <c r="V10" s="8">
        <f t="shared" si="4"/>
        <v>1</v>
      </c>
      <c r="W10" s="8">
        <f t="shared" si="4"/>
        <v>1</v>
      </c>
      <c r="X10" s="8">
        <f t="shared" si="4"/>
        <v>1</v>
      </c>
      <c r="AA10" s="8" t="e">
        <f>SUM(AA3:AA8)</f>
        <v>#NUM!</v>
      </c>
      <c r="AB10" s="8" t="e">
        <f t="shared" ref="AB10:AF10" si="5">SUM(AB3:AB8)</f>
        <v>#NUM!</v>
      </c>
      <c r="AC10" s="8" t="e">
        <f t="shared" si="5"/>
        <v>#NUM!</v>
      </c>
      <c r="AD10" s="8" t="e">
        <f t="shared" si="5"/>
        <v>#NUM!</v>
      </c>
      <c r="AE10" s="8" t="e">
        <f t="shared" si="5"/>
        <v>#NUM!</v>
      </c>
      <c r="AF10" s="8" t="e">
        <f t="shared" si="5"/>
        <v>#NUM!</v>
      </c>
    </row>
    <row r="11" spans="2:32" hidden="1" x14ac:dyDescent="0.2"/>
    <row r="12" spans="2:32" hidden="1" x14ac:dyDescent="0.2">
      <c r="C12" s="8">
        <f>C3/C$10</f>
        <v>1</v>
      </c>
      <c r="D12" s="8">
        <f t="shared" ref="D12:H12" si="6">D3/D$10</f>
        <v>0</v>
      </c>
      <c r="E12" s="8">
        <f t="shared" si="6"/>
        <v>0</v>
      </c>
      <c r="F12" s="8">
        <f t="shared" si="6"/>
        <v>0</v>
      </c>
      <c r="G12" s="8">
        <f t="shared" si="6"/>
        <v>0</v>
      </c>
      <c r="H12" s="8">
        <f t="shared" si="6"/>
        <v>0</v>
      </c>
      <c r="K12" s="8">
        <f>K3/K$10</f>
        <v>1</v>
      </c>
      <c r="L12" s="8">
        <f t="shared" ref="L12:P12" si="7">L3/L$10</f>
        <v>0</v>
      </c>
      <c r="M12" s="8">
        <f t="shared" si="7"/>
        <v>0</v>
      </c>
      <c r="N12" s="8">
        <f t="shared" si="7"/>
        <v>0</v>
      </c>
      <c r="O12" s="8">
        <f t="shared" si="7"/>
        <v>0</v>
      </c>
      <c r="P12" s="8">
        <f t="shared" si="7"/>
        <v>0</v>
      </c>
      <c r="S12" s="8">
        <f>S3/S$10</f>
        <v>1</v>
      </c>
      <c r="T12" s="8">
        <f t="shared" ref="T12:X12" si="8">T3/T$10</f>
        <v>0</v>
      </c>
      <c r="U12" s="8">
        <f t="shared" si="8"/>
        <v>0</v>
      </c>
      <c r="V12" s="8">
        <f t="shared" si="8"/>
        <v>0</v>
      </c>
      <c r="W12" s="8">
        <f t="shared" si="8"/>
        <v>0</v>
      </c>
      <c r="X12" s="8">
        <f t="shared" si="8"/>
        <v>0</v>
      </c>
      <c r="AA12" s="8" t="e">
        <f>AA3/AA$10</f>
        <v>#NUM!</v>
      </c>
      <c r="AB12" s="8" t="e">
        <f t="shared" ref="AB12:AF12" si="9">AB3/AB$10</f>
        <v>#NUM!</v>
      </c>
      <c r="AC12" s="8" t="e">
        <f t="shared" si="9"/>
        <v>#NUM!</v>
      </c>
      <c r="AD12" s="8" t="e">
        <f t="shared" si="9"/>
        <v>#NUM!</v>
      </c>
      <c r="AE12" s="8" t="e">
        <f t="shared" si="9"/>
        <v>#NUM!</v>
      </c>
      <c r="AF12" s="8" t="e">
        <f t="shared" si="9"/>
        <v>#NUM!</v>
      </c>
    </row>
    <row r="13" spans="2:32" hidden="1" x14ac:dyDescent="0.2">
      <c r="C13" s="8">
        <f t="shared" ref="C13:H17" si="10">C4/C$10</f>
        <v>0</v>
      </c>
      <c r="D13" s="8">
        <f t="shared" si="10"/>
        <v>1</v>
      </c>
      <c r="E13" s="8">
        <f t="shared" si="10"/>
        <v>0</v>
      </c>
      <c r="F13" s="8">
        <f t="shared" si="10"/>
        <v>0</v>
      </c>
      <c r="G13" s="8">
        <f t="shared" si="10"/>
        <v>0</v>
      </c>
      <c r="H13" s="8">
        <f t="shared" si="10"/>
        <v>0</v>
      </c>
      <c r="K13" s="8">
        <f t="shared" ref="K13:P17" si="11">K4/K$10</f>
        <v>0</v>
      </c>
      <c r="L13" s="8">
        <f t="shared" si="11"/>
        <v>1</v>
      </c>
      <c r="M13" s="8">
        <f t="shared" si="11"/>
        <v>0</v>
      </c>
      <c r="N13" s="8">
        <f t="shared" si="11"/>
        <v>0</v>
      </c>
      <c r="O13" s="8">
        <f t="shared" si="11"/>
        <v>0</v>
      </c>
      <c r="P13" s="8">
        <f t="shared" si="11"/>
        <v>0</v>
      </c>
      <c r="S13" s="8">
        <f t="shared" ref="S13:X17" si="12">S4/S$10</f>
        <v>0</v>
      </c>
      <c r="T13" s="8">
        <f t="shared" si="12"/>
        <v>1</v>
      </c>
      <c r="U13" s="8">
        <f t="shared" si="12"/>
        <v>0</v>
      </c>
      <c r="V13" s="8">
        <f t="shared" si="12"/>
        <v>0</v>
      </c>
      <c r="W13" s="8">
        <f t="shared" si="12"/>
        <v>0</v>
      </c>
      <c r="X13" s="8">
        <f t="shared" si="12"/>
        <v>0</v>
      </c>
      <c r="AA13" s="8" t="e">
        <f t="shared" ref="AA13:AF17" si="13">AA4/AA$10</f>
        <v>#NUM!</v>
      </c>
      <c r="AB13" s="8" t="e">
        <f t="shared" si="13"/>
        <v>#NUM!</v>
      </c>
      <c r="AC13" s="8" t="e">
        <f t="shared" si="13"/>
        <v>#NUM!</v>
      </c>
      <c r="AD13" s="8" t="e">
        <f t="shared" si="13"/>
        <v>#NUM!</v>
      </c>
      <c r="AE13" s="8" t="e">
        <f t="shared" si="13"/>
        <v>#NUM!</v>
      </c>
      <c r="AF13" s="8" t="e">
        <f t="shared" si="13"/>
        <v>#NUM!</v>
      </c>
    </row>
    <row r="14" spans="2:32" hidden="1" x14ac:dyDescent="0.2">
      <c r="C14" s="8">
        <f t="shared" si="10"/>
        <v>0</v>
      </c>
      <c r="D14" s="8">
        <f t="shared" si="10"/>
        <v>0</v>
      </c>
      <c r="E14" s="8">
        <f t="shared" si="10"/>
        <v>1</v>
      </c>
      <c r="F14" s="8">
        <f t="shared" si="10"/>
        <v>0</v>
      </c>
      <c r="G14" s="8">
        <f t="shared" si="10"/>
        <v>0</v>
      </c>
      <c r="H14" s="8">
        <f t="shared" si="10"/>
        <v>0</v>
      </c>
      <c r="K14" s="8">
        <f t="shared" si="11"/>
        <v>0</v>
      </c>
      <c r="L14" s="8">
        <f t="shared" si="11"/>
        <v>0</v>
      </c>
      <c r="M14" s="8">
        <f t="shared" si="11"/>
        <v>1</v>
      </c>
      <c r="N14" s="8">
        <f t="shared" si="11"/>
        <v>0</v>
      </c>
      <c r="O14" s="8">
        <f t="shared" si="11"/>
        <v>0</v>
      </c>
      <c r="P14" s="8">
        <f t="shared" si="11"/>
        <v>0</v>
      </c>
      <c r="S14" s="8">
        <f t="shared" si="12"/>
        <v>0</v>
      </c>
      <c r="T14" s="8">
        <f t="shared" si="12"/>
        <v>0</v>
      </c>
      <c r="U14" s="8">
        <f t="shared" si="12"/>
        <v>1</v>
      </c>
      <c r="V14" s="8">
        <f t="shared" si="12"/>
        <v>0</v>
      </c>
      <c r="W14" s="8">
        <f t="shared" si="12"/>
        <v>0</v>
      </c>
      <c r="X14" s="8">
        <f t="shared" si="12"/>
        <v>0</v>
      </c>
      <c r="AA14" s="8" t="e">
        <f t="shared" si="13"/>
        <v>#NUM!</v>
      </c>
      <c r="AB14" s="8" t="e">
        <f t="shared" si="13"/>
        <v>#NUM!</v>
      </c>
      <c r="AC14" s="8" t="e">
        <f t="shared" si="13"/>
        <v>#NUM!</v>
      </c>
      <c r="AD14" s="8" t="e">
        <f t="shared" si="13"/>
        <v>#NUM!</v>
      </c>
      <c r="AE14" s="8" t="e">
        <f t="shared" si="13"/>
        <v>#NUM!</v>
      </c>
      <c r="AF14" s="8" t="e">
        <f t="shared" si="13"/>
        <v>#NUM!</v>
      </c>
    </row>
    <row r="15" spans="2:32" hidden="1" x14ac:dyDescent="0.2">
      <c r="C15" s="8">
        <f t="shared" si="10"/>
        <v>0</v>
      </c>
      <c r="D15" s="8">
        <f t="shared" si="10"/>
        <v>0</v>
      </c>
      <c r="E15" s="8">
        <f t="shared" si="10"/>
        <v>0</v>
      </c>
      <c r="F15" s="8">
        <f t="shared" si="10"/>
        <v>1</v>
      </c>
      <c r="G15" s="8">
        <f t="shared" si="10"/>
        <v>0</v>
      </c>
      <c r="H15" s="8">
        <f t="shared" si="10"/>
        <v>0</v>
      </c>
      <c r="K15" s="8">
        <f t="shared" si="11"/>
        <v>0</v>
      </c>
      <c r="L15" s="8">
        <f t="shared" si="11"/>
        <v>0</v>
      </c>
      <c r="M15" s="8">
        <f t="shared" si="11"/>
        <v>0</v>
      </c>
      <c r="N15" s="8">
        <f t="shared" si="11"/>
        <v>1</v>
      </c>
      <c r="O15" s="8">
        <f t="shared" si="11"/>
        <v>0</v>
      </c>
      <c r="P15" s="8">
        <f t="shared" si="11"/>
        <v>0</v>
      </c>
      <c r="S15" s="8">
        <f t="shared" si="12"/>
        <v>0</v>
      </c>
      <c r="T15" s="8">
        <f t="shared" si="12"/>
        <v>0</v>
      </c>
      <c r="U15" s="8">
        <f t="shared" si="12"/>
        <v>0</v>
      </c>
      <c r="V15" s="8">
        <f t="shared" si="12"/>
        <v>1</v>
      </c>
      <c r="W15" s="8">
        <f t="shared" si="12"/>
        <v>0</v>
      </c>
      <c r="X15" s="8">
        <f t="shared" si="12"/>
        <v>0</v>
      </c>
      <c r="AA15" s="8" t="e">
        <f t="shared" si="13"/>
        <v>#NUM!</v>
      </c>
      <c r="AB15" s="8" t="e">
        <f t="shared" si="13"/>
        <v>#NUM!</v>
      </c>
      <c r="AC15" s="8" t="e">
        <f t="shared" si="13"/>
        <v>#NUM!</v>
      </c>
      <c r="AD15" s="8" t="e">
        <f t="shared" si="13"/>
        <v>#NUM!</v>
      </c>
      <c r="AE15" s="8" t="e">
        <f t="shared" si="13"/>
        <v>#NUM!</v>
      </c>
      <c r="AF15" s="8" t="e">
        <f t="shared" si="13"/>
        <v>#NUM!</v>
      </c>
    </row>
    <row r="16" spans="2:32" hidden="1" x14ac:dyDescent="0.2">
      <c r="C16" s="8">
        <f t="shared" si="10"/>
        <v>0</v>
      </c>
      <c r="D16" s="8">
        <f t="shared" si="10"/>
        <v>0</v>
      </c>
      <c r="E16" s="8">
        <f t="shared" si="10"/>
        <v>0</v>
      </c>
      <c r="F16" s="8">
        <f t="shared" si="10"/>
        <v>0</v>
      </c>
      <c r="G16" s="8">
        <f t="shared" si="10"/>
        <v>1</v>
      </c>
      <c r="H16" s="8">
        <f t="shared" si="10"/>
        <v>0</v>
      </c>
      <c r="K16" s="8">
        <f t="shared" si="11"/>
        <v>0</v>
      </c>
      <c r="L16" s="8">
        <f t="shared" si="11"/>
        <v>0</v>
      </c>
      <c r="M16" s="8">
        <f t="shared" si="11"/>
        <v>0</v>
      </c>
      <c r="N16" s="8">
        <f t="shared" si="11"/>
        <v>0</v>
      </c>
      <c r="O16" s="8">
        <f t="shared" si="11"/>
        <v>1</v>
      </c>
      <c r="P16" s="8">
        <f t="shared" si="11"/>
        <v>0</v>
      </c>
      <c r="S16" s="8">
        <f t="shared" si="12"/>
        <v>0</v>
      </c>
      <c r="T16" s="8">
        <f t="shared" si="12"/>
        <v>0</v>
      </c>
      <c r="U16" s="8">
        <f t="shared" si="12"/>
        <v>0</v>
      </c>
      <c r="V16" s="8">
        <f t="shared" si="12"/>
        <v>0</v>
      </c>
      <c r="W16" s="8">
        <f t="shared" si="12"/>
        <v>1</v>
      </c>
      <c r="X16" s="8">
        <f t="shared" si="12"/>
        <v>0</v>
      </c>
      <c r="AA16" s="8" t="e">
        <f t="shared" si="13"/>
        <v>#NUM!</v>
      </c>
      <c r="AB16" s="8" t="e">
        <f t="shared" si="13"/>
        <v>#NUM!</v>
      </c>
      <c r="AC16" s="8" t="e">
        <f t="shared" si="13"/>
        <v>#NUM!</v>
      </c>
      <c r="AD16" s="8" t="e">
        <f t="shared" si="13"/>
        <v>#NUM!</v>
      </c>
      <c r="AE16" s="8" t="e">
        <f t="shared" si="13"/>
        <v>#NUM!</v>
      </c>
      <c r="AF16" s="8" t="e">
        <f t="shared" si="13"/>
        <v>#NUM!</v>
      </c>
    </row>
    <row r="17" spans="3:32" hidden="1" x14ac:dyDescent="0.2">
      <c r="C17" s="8">
        <f t="shared" si="10"/>
        <v>0</v>
      </c>
      <c r="D17" s="8">
        <f t="shared" si="10"/>
        <v>0</v>
      </c>
      <c r="E17" s="8">
        <f t="shared" si="10"/>
        <v>0</v>
      </c>
      <c r="F17" s="8">
        <f t="shared" si="10"/>
        <v>0</v>
      </c>
      <c r="G17" s="8">
        <f t="shared" si="10"/>
        <v>0</v>
      </c>
      <c r="H17" s="8">
        <f t="shared" si="10"/>
        <v>1</v>
      </c>
      <c r="K17" s="8">
        <f t="shared" si="11"/>
        <v>0</v>
      </c>
      <c r="L17" s="8">
        <f t="shared" si="11"/>
        <v>0</v>
      </c>
      <c r="M17" s="8">
        <f t="shared" si="11"/>
        <v>0</v>
      </c>
      <c r="N17" s="8">
        <f t="shared" si="11"/>
        <v>0</v>
      </c>
      <c r="O17" s="8">
        <f t="shared" si="11"/>
        <v>0</v>
      </c>
      <c r="P17" s="8">
        <f t="shared" si="11"/>
        <v>1</v>
      </c>
      <c r="S17" s="8">
        <f t="shared" si="12"/>
        <v>0</v>
      </c>
      <c r="T17" s="8">
        <f t="shared" si="12"/>
        <v>0</v>
      </c>
      <c r="U17" s="8">
        <f t="shared" si="12"/>
        <v>0</v>
      </c>
      <c r="V17" s="8">
        <f t="shared" si="12"/>
        <v>0</v>
      </c>
      <c r="W17" s="8">
        <f t="shared" si="12"/>
        <v>0</v>
      </c>
      <c r="X17" s="8">
        <f t="shared" si="12"/>
        <v>1</v>
      </c>
      <c r="AA17" s="8" t="e">
        <f t="shared" si="13"/>
        <v>#NUM!</v>
      </c>
      <c r="AB17" s="8" t="e">
        <f t="shared" si="13"/>
        <v>#NUM!</v>
      </c>
      <c r="AC17" s="8" t="e">
        <f t="shared" si="13"/>
        <v>#NUM!</v>
      </c>
      <c r="AD17" s="8" t="e">
        <f t="shared" si="13"/>
        <v>#NUM!</v>
      </c>
      <c r="AE17" s="8" t="e">
        <f t="shared" si="13"/>
        <v>#NUM!</v>
      </c>
      <c r="AF17" s="8" t="e">
        <f t="shared" si="13"/>
        <v>#NUM!</v>
      </c>
    </row>
    <row r="19" spans="3:32" x14ac:dyDescent="0.2">
      <c r="F19" s="8" t="str">
        <f t="shared" ref="F19:F24" si="14">B3</f>
        <v>e1</v>
      </c>
      <c r="G19" s="8">
        <f>AVERAGE(C12:H12)</f>
        <v>0.16666666666666666</v>
      </c>
      <c r="N19" s="8" t="str">
        <f t="shared" ref="N19:N24" si="15">J3</f>
        <v>e1</v>
      </c>
      <c r="O19" s="8">
        <f>AVERAGE(K12:P12)</f>
        <v>0.16666666666666666</v>
      </c>
      <c r="V19" s="8" t="str">
        <f t="shared" ref="V19:V24" si="16">R3</f>
        <v>e1</v>
      </c>
      <c r="W19" s="8">
        <f>AVERAGE(S12:X12)</f>
        <v>0.16666666666666666</v>
      </c>
      <c r="AD19" s="8" t="str">
        <f t="shared" ref="AD19:AD24" si="17">Z3</f>
        <v>e1</v>
      </c>
      <c r="AE19" s="8" t="e">
        <f>AVERAGE(AA12:AF12)</f>
        <v>#NUM!</v>
      </c>
    </row>
    <row r="20" spans="3:32" x14ac:dyDescent="0.2">
      <c r="F20" s="8" t="str">
        <f t="shared" si="14"/>
        <v>e2</v>
      </c>
      <c r="G20" s="8">
        <f t="shared" ref="G20:G24" si="18">AVERAGE(C13:H13)</f>
        <v>0.16666666666666666</v>
      </c>
      <c r="N20" s="8" t="str">
        <f t="shared" si="15"/>
        <v>e2</v>
      </c>
      <c r="O20" s="8">
        <f t="shared" ref="O20:O24" si="19">AVERAGE(K13:P13)</f>
        <v>0.16666666666666666</v>
      </c>
      <c r="V20" s="8" t="str">
        <f t="shared" si="16"/>
        <v>e2</v>
      </c>
      <c r="W20" s="8">
        <f t="shared" ref="W20:W24" si="20">AVERAGE(S13:X13)</f>
        <v>0.16666666666666666</v>
      </c>
      <c r="AD20" s="8" t="str">
        <f t="shared" si="17"/>
        <v>e2</v>
      </c>
      <c r="AE20" s="8" t="e">
        <f t="shared" ref="AE20:AE24" si="21">AVERAGE(AA13:AF13)</f>
        <v>#NUM!</v>
      </c>
    </row>
    <row r="21" spans="3:32" x14ac:dyDescent="0.2">
      <c r="F21" s="8" t="str">
        <f t="shared" si="14"/>
        <v>e3</v>
      </c>
      <c r="G21" s="8">
        <f t="shared" si="18"/>
        <v>0.16666666666666666</v>
      </c>
      <c r="N21" s="8" t="str">
        <f t="shared" si="15"/>
        <v>e3</v>
      </c>
      <c r="O21" s="8">
        <f t="shared" si="19"/>
        <v>0.16666666666666666</v>
      </c>
      <c r="V21" s="8" t="str">
        <f t="shared" si="16"/>
        <v>e3</v>
      </c>
      <c r="W21" s="8">
        <f t="shared" si="20"/>
        <v>0.16666666666666666</v>
      </c>
      <c r="AD21" s="8" t="str">
        <f t="shared" si="17"/>
        <v>e3</v>
      </c>
      <c r="AE21" s="8" t="e">
        <f t="shared" si="21"/>
        <v>#NUM!</v>
      </c>
    </row>
    <row r="22" spans="3:32" x14ac:dyDescent="0.2">
      <c r="F22" s="8" t="str">
        <f t="shared" si="14"/>
        <v>e4</v>
      </c>
      <c r="G22" s="8">
        <f t="shared" si="18"/>
        <v>0.16666666666666666</v>
      </c>
      <c r="N22" s="8" t="str">
        <f t="shared" si="15"/>
        <v>e4</v>
      </c>
      <c r="O22" s="8">
        <f t="shared" si="19"/>
        <v>0.16666666666666666</v>
      </c>
      <c r="V22" s="8" t="str">
        <f t="shared" si="16"/>
        <v>e4</v>
      </c>
      <c r="W22" s="8">
        <f t="shared" si="20"/>
        <v>0.16666666666666666</v>
      </c>
      <c r="AD22" s="8" t="str">
        <f t="shared" si="17"/>
        <v>e4</v>
      </c>
      <c r="AE22" s="8" t="e">
        <f t="shared" si="21"/>
        <v>#NUM!</v>
      </c>
    </row>
    <row r="23" spans="3:32" x14ac:dyDescent="0.2">
      <c r="F23" s="8" t="str">
        <f t="shared" si="14"/>
        <v>e5</v>
      </c>
      <c r="G23" s="8">
        <f t="shared" si="18"/>
        <v>0.16666666666666666</v>
      </c>
      <c r="N23" s="8" t="str">
        <f t="shared" si="15"/>
        <v>e5</v>
      </c>
      <c r="O23" s="8">
        <f t="shared" si="19"/>
        <v>0.16666666666666666</v>
      </c>
      <c r="V23" s="8" t="str">
        <f t="shared" si="16"/>
        <v>e5</v>
      </c>
      <c r="W23" s="8">
        <f t="shared" si="20"/>
        <v>0.16666666666666666</v>
      </c>
      <c r="AD23" s="8" t="str">
        <f t="shared" si="17"/>
        <v>e5</v>
      </c>
      <c r="AE23" s="8" t="e">
        <f t="shared" si="21"/>
        <v>#NUM!</v>
      </c>
    </row>
    <row r="24" spans="3:32" x14ac:dyDescent="0.2">
      <c r="F24" s="8" t="str">
        <f t="shared" si="14"/>
        <v>e6</v>
      </c>
      <c r="G24" s="8">
        <f t="shared" si="18"/>
        <v>0.16666666666666666</v>
      </c>
      <c r="N24" s="8" t="str">
        <f t="shared" si="15"/>
        <v>e6</v>
      </c>
      <c r="O24" s="8">
        <f t="shared" si="19"/>
        <v>0.16666666666666666</v>
      </c>
      <c r="V24" s="8" t="str">
        <f t="shared" si="16"/>
        <v>e6</v>
      </c>
      <c r="W24" s="8">
        <f t="shared" si="20"/>
        <v>0.16666666666666666</v>
      </c>
      <c r="AD24" s="8" t="str">
        <f t="shared" si="17"/>
        <v>e6</v>
      </c>
      <c r="AE24" s="8" t="e">
        <f t="shared" si="21"/>
        <v>#NUM!</v>
      </c>
    </row>
    <row r="26" spans="3:32" hidden="1" x14ac:dyDescent="0.2">
      <c r="C26" s="8">
        <f>C3*G$19</f>
        <v>0.16666666666666666</v>
      </c>
      <c r="D26" s="8">
        <f>D3*G$20</f>
        <v>0</v>
      </c>
      <c r="E26" s="8">
        <f>E3*G$21</f>
        <v>0</v>
      </c>
      <c r="F26" s="8">
        <f>F3*G$22</f>
        <v>0</v>
      </c>
      <c r="G26" s="8">
        <f>G3*G$23</f>
        <v>0</v>
      </c>
      <c r="H26" s="8">
        <f>G$24*H3</f>
        <v>0</v>
      </c>
      <c r="K26" s="8">
        <f>K3*O$19</f>
        <v>0.16666666666666666</v>
      </c>
      <c r="L26" s="8">
        <f>L3*O$20</f>
        <v>0</v>
      </c>
      <c r="M26" s="8">
        <f>M3*O$21</f>
        <v>0</v>
      </c>
      <c r="N26" s="8">
        <f>N3*O$22</f>
        <v>0</v>
      </c>
      <c r="O26" s="8">
        <f>O3*O$23</f>
        <v>0</v>
      </c>
      <c r="P26" s="8">
        <f>O$24*P3</f>
        <v>0</v>
      </c>
      <c r="S26" s="8">
        <f>S3*W$19</f>
        <v>0.16666666666666666</v>
      </c>
      <c r="T26" s="8">
        <f>T3*W$20</f>
        <v>0</v>
      </c>
      <c r="U26" s="8">
        <f>U3*W$21</f>
        <v>0</v>
      </c>
      <c r="V26" s="8">
        <f>V3*W$22</f>
        <v>0</v>
      </c>
      <c r="W26" s="8">
        <f>W3*W$23</f>
        <v>0</v>
      </c>
      <c r="X26" s="8">
        <f>W$24*X3</f>
        <v>0</v>
      </c>
      <c r="AA26" s="8" t="e">
        <f>AA3*AE$19</f>
        <v>#NUM!</v>
      </c>
      <c r="AB26" s="8" t="e">
        <f>AB3*AE$20</f>
        <v>#NUM!</v>
      </c>
      <c r="AC26" s="8" t="e">
        <f>AC3*AE$21</f>
        <v>#NUM!</v>
      </c>
      <c r="AD26" s="8" t="e">
        <f>AD3*AE$22</f>
        <v>#NUM!</v>
      </c>
      <c r="AE26" s="8" t="e">
        <f>AE3*AE$23</f>
        <v>#NUM!</v>
      </c>
      <c r="AF26" s="8" t="e">
        <f>AE$24*AF3</f>
        <v>#NUM!</v>
      </c>
    </row>
    <row r="27" spans="3:32" hidden="1" x14ac:dyDescent="0.2">
      <c r="C27" s="8">
        <f t="shared" ref="C27:C31" si="22">C4*G$19</f>
        <v>0</v>
      </c>
      <c r="D27" s="8">
        <f t="shared" ref="D27:D31" si="23">D4*G$20</f>
        <v>0.16666666666666666</v>
      </c>
      <c r="E27" s="8">
        <f t="shared" ref="E27:E31" si="24">E4*G$21</f>
        <v>0</v>
      </c>
      <c r="F27" s="8">
        <f t="shared" ref="F27:F31" si="25">F4*G$22</f>
        <v>0</v>
      </c>
      <c r="G27" s="8">
        <f t="shared" ref="G27:G31" si="26">G4*G$23</f>
        <v>0</v>
      </c>
      <c r="H27" s="8">
        <f t="shared" ref="H27:H31" si="27">G$24*H4</f>
        <v>0</v>
      </c>
      <c r="K27" s="8">
        <f t="shared" ref="K27:K31" si="28">K4*O$19</f>
        <v>0</v>
      </c>
      <c r="L27" s="8">
        <f t="shared" ref="L27:L31" si="29">L4*O$20</f>
        <v>0.16666666666666666</v>
      </c>
      <c r="M27" s="8">
        <f t="shared" ref="M27:M31" si="30">M4*O$21</f>
        <v>0</v>
      </c>
      <c r="N27" s="8">
        <f t="shared" ref="N27:N31" si="31">N4*O$22</f>
        <v>0</v>
      </c>
      <c r="O27" s="8">
        <f t="shared" ref="O27:O31" si="32">O4*O$23</f>
        <v>0</v>
      </c>
      <c r="P27" s="8">
        <f t="shared" ref="P27:P31" si="33">O$24*P4</f>
        <v>0</v>
      </c>
      <c r="S27" s="8">
        <f t="shared" ref="S27:S31" si="34">S4*W$19</f>
        <v>0</v>
      </c>
      <c r="T27" s="8">
        <f t="shared" ref="T27:T31" si="35">T4*W$20</f>
        <v>0.16666666666666666</v>
      </c>
      <c r="U27" s="8">
        <f t="shared" ref="U27:U31" si="36">U4*W$21</f>
        <v>0</v>
      </c>
      <c r="V27" s="8">
        <f t="shared" ref="V27:V31" si="37">V4*W$22</f>
        <v>0</v>
      </c>
      <c r="W27" s="8">
        <f t="shared" ref="W27:W31" si="38">W4*W$23</f>
        <v>0</v>
      </c>
      <c r="X27" s="8">
        <f t="shared" ref="X27:X31" si="39">W$24*X4</f>
        <v>0</v>
      </c>
      <c r="AA27" s="8" t="e">
        <f t="shared" ref="AA27:AA31" si="40">AA4*AE$19</f>
        <v>#NUM!</v>
      </c>
      <c r="AB27" s="8" t="e">
        <f t="shared" ref="AB27:AB31" si="41">AB4*AE$20</f>
        <v>#NUM!</v>
      </c>
      <c r="AC27" s="8" t="e">
        <f t="shared" ref="AC27:AC31" si="42">AC4*AE$21</f>
        <v>#NUM!</v>
      </c>
      <c r="AD27" s="8" t="e">
        <f t="shared" ref="AD27:AD31" si="43">AD4*AE$22</f>
        <v>#NUM!</v>
      </c>
      <c r="AE27" s="8" t="e">
        <f t="shared" ref="AE27:AE31" si="44">AE4*AE$23</f>
        <v>#NUM!</v>
      </c>
      <c r="AF27" s="8" t="e">
        <f t="shared" ref="AF27:AF31" si="45">AE$24*AF4</f>
        <v>#NUM!</v>
      </c>
    </row>
    <row r="28" spans="3:32" hidden="1" x14ac:dyDescent="0.2">
      <c r="C28" s="8">
        <f t="shared" si="22"/>
        <v>0</v>
      </c>
      <c r="D28" s="8">
        <f t="shared" si="23"/>
        <v>0</v>
      </c>
      <c r="E28" s="8">
        <f t="shared" si="24"/>
        <v>0.16666666666666666</v>
      </c>
      <c r="F28" s="8">
        <f t="shared" si="25"/>
        <v>0</v>
      </c>
      <c r="G28" s="8">
        <f t="shared" si="26"/>
        <v>0</v>
      </c>
      <c r="H28" s="8">
        <f t="shared" si="27"/>
        <v>0</v>
      </c>
      <c r="K28" s="8">
        <f t="shared" si="28"/>
        <v>0</v>
      </c>
      <c r="L28" s="8">
        <f t="shared" si="29"/>
        <v>0</v>
      </c>
      <c r="M28" s="8">
        <f t="shared" si="30"/>
        <v>0.16666666666666666</v>
      </c>
      <c r="N28" s="8">
        <f t="shared" si="31"/>
        <v>0</v>
      </c>
      <c r="O28" s="8">
        <f t="shared" si="32"/>
        <v>0</v>
      </c>
      <c r="P28" s="8">
        <f t="shared" si="33"/>
        <v>0</v>
      </c>
      <c r="S28" s="8">
        <f t="shared" si="34"/>
        <v>0</v>
      </c>
      <c r="T28" s="8">
        <f t="shared" si="35"/>
        <v>0</v>
      </c>
      <c r="U28" s="8">
        <f t="shared" si="36"/>
        <v>0.16666666666666666</v>
      </c>
      <c r="V28" s="8">
        <f t="shared" si="37"/>
        <v>0</v>
      </c>
      <c r="W28" s="8">
        <f t="shared" si="38"/>
        <v>0</v>
      </c>
      <c r="X28" s="8">
        <f t="shared" si="39"/>
        <v>0</v>
      </c>
      <c r="AA28" s="8" t="e">
        <f t="shared" si="40"/>
        <v>#NUM!</v>
      </c>
      <c r="AB28" s="8" t="e">
        <f t="shared" si="41"/>
        <v>#NUM!</v>
      </c>
      <c r="AC28" s="8" t="e">
        <f t="shared" si="42"/>
        <v>#NUM!</v>
      </c>
      <c r="AD28" s="8" t="e">
        <f t="shared" si="43"/>
        <v>#NUM!</v>
      </c>
      <c r="AE28" s="8" t="e">
        <f t="shared" si="44"/>
        <v>#NUM!</v>
      </c>
      <c r="AF28" s="8" t="e">
        <f t="shared" si="45"/>
        <v>#NUM!</v>
      </c>
    </row>
    <row r="29" spans="3:32" hidden="1" x14ac:dyDescent="0.2">
      <c r="C29" s="8">
        <f t="shared" si="22"/>
        <v>0</v>
      </c>
      <c r="D29" s="8">
        <f t="shared" si="23"/>
        <v>0</v>
      </c>
      <c r="E29" s="8">
        <f t="shared" si="24"/>
        <v>0</v>
      </c>
      <c r="F29" s="8">
        <f t="shared" si="25"/>
        <v>0.16666666666666666</v>
      </c>
      <c r="G29" s="8">
        <f t="shared" si="26"/>
        <v>0</v>
      </c>
      <c r="H29" s="8">
        <f t="shared" si="27"/>
        <v>0</v>
      </c>
      <c r="K29" s="8">
        <f t="shared" si="28"/>
        <v>0</v>
      </c>
      <c r="L29" s="8">
        <f t="shared" si="29"/>
        <v>0</v>
      </c>
      <c r="M29" s="8">
        <f t="shared" si="30"/>
        <v>0</v>
      </c>
      <c r="N29" s="8">
        <f t="shared" si="31"/>
        <v>0.16666666666666666</v>
      </c>
      <c r="O29" s="8">
        <f t="shared" si="32"/>
        <v>0</v>
      </c>
      <c r="P29" s="8">
        <f t="shared" si="33"/>
        <v>0</v>
      </c>
      <c r="S29" s="8">
        <f t="shared" si="34"/>
        <v>0</v>
      </c>
      <c r="T29" s="8">
        <f t="shared" si="35"/>
        <v>0</v>
      </c>
      <c r="U29" s="8">
        <f t="shared" si="36"/>
        <v>0</v>
      </c>
      <c r="V29" s="8">
        <f t="shared" si="37"/>
        <v>0.16666666666666666</v>
      </c>
      <c r="W29" s="8">
        <f t="shared" si="38"/>
        <v>0</v>
      </c>
      <c r="X29" s="8">
        <f t="shared" si="39"/>
        <v>0</v>
      </c>
      <c r="AA29" s="8" t="e">
        <f t="shared" si="40"/>
        <v>#NUM!</v>
      </c>
      <c r="AB29" s="8" t="e">
        <f t="shared" si="41"/>
        <v>#NUM!</v>
      </c>
      <c r="AC29" s="8" t="e">
        <f t="shared" si="42"/>
        <v>#NUM!</v>
      </c>
      <c r="AD29" s="8" t="e">
        <f t="shared" si="43"/>
        <v>#NUM!</v>
      </c>
      <c r="AE29" s="8" t="e">
        <f t="shared" si="44"/>
        <v>#NUM!</v>
      </c>
      <c r="AF29" s="8" t="e">
        <f t="shared" si="45"/>
        <v>#NUM!</v>
      </c>
    </row>
    <row r="30" spans="3:32" hidden="1" x14ac:dyDescent="0.2">
      <c r="C30" s="8">
        <f t="shared" si="22"/>
        <v>0</v>
      </c>
      <c r="D30" s="8">
        <f t="shared" si="23"/>
        <v>0</v>
      </c>
      <c r="E30" s="8">
        <f t="shared" si="24"/>
        <v>0</v>
      </c>
      <c r="F30" s="8">
        <f t="shared" si="25"/>
        <v>0</v>
      </c>
      <c r="G30" s="8">
        <f t="shared" si="26"/>
        <v>0.16666666666666666</v>
      </c>
      <c r="H30" s="8">
        <f t="shared" si="27"/>
        <v>0</v>
      </c>
      <c r="K30" s="8">
        <f t="shared" si="28"/>
        <v>0</v>
      </c>
      <c r="L30" s="8">
        <f t="shared" si="29"/>
        <v>0</v>
      </c>
      <c r="M30" s="8">
        <f t="shared" si="30"/>
        <v>0</v>
      </c>
      <c r="N30" s="8">
        <f t="shared" si="31"/>
        <v>0</v>
      </c>
      <c r="O30" s="8">
        <f t="shared" si="32"/>
        <v>0.16666666666666666</v>
      </c>
      <c r="P30" s="8">
        <f t="shared" si="33"/>
        <v>0</v>
      </c>
      <c r="S30" s="8">
        <f t="shared" si="34"/>
        <v>0</v>
      </c>
      <c r="T30" s="8">
        <f t="shared" si="35"/>
        <v>0</v>
      </c>
      <c r="U30" s="8">
        <f t="shared" si="36"/>
        <v>0</v>
      </c>
      <c r="V30" s="8">
        <f t="shared" si="37"/>
        <v>0</v>
      </c>
      <c r="W30" s="8">
        <f t="shared" si="38"/>
        <v>0.16666666666666666</v>
      </c>
      <c r="X30" s="8">
        <f t="shared" si="39"/>
        <v>0</v>
      </c>
      <c r="AA30" s="8" t="e">
        <f t="shared" si="40"/>
        <v>#NUM!</v>
      </c>
      <c r="AB30" s="8" t="e">
        <f t="shared" si="41"/>
        <v>#NUM!</v>
      </c>
      <c r="AC30" s="8" t="e">
        <f t="shared" si="42"/>
        <v>#NUM!</v>
      </c>
      <c r="AD30" s="8" t="e">
        <f t="shared" si="43"/>
        <v>#NUM!</v>
      </c>
      <c r="AE30" s="8" t="e">
        <f t="shared" si="44"/>
        <v>#NUM!</v>
      </c>
      <c r="AF30" s="8" t="e">
        <f t="shared" si="45"/>
        <v>#NUM!</v>
      </c>
    </row>
    <row r="31" spans="3:32" hidden="1" x14ac:dyDescent="0.2">
      <c r="C31" s="8">
        <f t="shared" si="22"/>
        <v>0</v>
      </c>
      <c r="D31" s="8">
        <f t="shared" si="23"/>
        <v>0</v>
      </c>
      <c r="E31" s="8">
        <f t="shared" si="24"/>
        <v>0</v>
      </c>
      <c r="F31" s="8">
        <f t="shared" si="25"/>
        <v>0</v>
      </c>
      <c r="G31" s="8">
        <f t="shared" si="26"/>
        <v>0</v>
      </c>
      <c r="H31" s="8">
        <f t="shared" si="27"/>
        <v>0.16666666666666666</v>
      </c>
      <c r="K31" s="8">
        <f t="shared" si="28"/>
        <v>0</v>
      </c>
      <c r="L31" s="8">
        <f t="shared" si="29"/>
        <v>0</v>
      </c>
      <c r="M31" s="8">
        <f t="shared" si="30"/>
        <v>0</v>
      </c>
      <c r="N31" s="8">
        <f t="shared" si="31"/>
        <v>0</v>
      </c>
      <c r="O31" s="8">
        <f t="shared" si="32"/>
        <v>0</v>
      </c>
      <c r="P31" s="8">
        <f t="shared" si="33"/>
        <v>0.16666666666666666</v>
      </c>
      <c r="S31" s="8">
        <f t="shared" si="34"/>
        <v>0</v>
      </c>
      <c r="T31" s="8">
        <f t="shared" si="35"/>
        <v>0</v>
      </c>
      <c r="U31" s="8">
        <f t="shared" si="36"/>
        <v>0</v>
      </c>
      <c r="V31" s="8">
        <f t="shared" si="37"/>
        <v>0</v>
      </c>
      <c r="W31" s="8">
        <f t="shared" si="38"/>
        <v>0</v>
      </c>
      <c r="X31" s="8">
        <f t="shared" si="39"/>
        <v>0.16666666666666666</v>
      </c>
      <c r="AA31" s="8" t="e">
        <f t="shared" si="40"/>
        <v>#NUM!</v>
      </c>
      <c r="AB31" s="8" t="e">
        <f t="shared" si="41"/>
        <v>#NUM!</v>
      </c>
      <c r="AC31" s="8" t="e">
        <f t="shared" si="42"/>
        <v>#NUM!</v>
      </c>
      <c r="AD31" s="8" t="e">
        <f t="shared" si="43"/>
        <v>#NUM!</v>
      </c>
      <c r="AE31" s="8" t="e">
        <f t="shared" si="44"/>
        <v>#NUM!</v>
      </c>
      <c r="AF31" s="8" t="e">
        <f t="shared" si="45"/>
        <v>#NUM!</v>
      </c>
    </row>
    <row r="32" spans="3:32" hidden="1" x14ac:dyDescent="0.2"/>
    <row r="33" spans="3:31" hidden="1" x14ac:dyDescent="0.2"/>
    <row r="34" spans="3:31" hidden="1" x14ac:dyDescent="0.2">
      <c r="C34" s="8">
        <f>SUM(C26:H26)</f>
        <v>0.16666666666666666</v>
      </c>
      <c r="E34" s="8">
        <f>G19</f>
        <v>0.16666666666666666</v>
      </c>
      <c r="G34" s="8">
        <f>C34/E34</f>
        <v>1</v>
      </c>
      <c r="K34" s="8">
        <f>SUM(K26:P26)</f>
        <v>0.16666666666666666</v>
      </c>
      <c r="M34" s="8">
        <f>O19</f>
        <v>0.16666666666666666</v>
      </c>
      <c r="O34" s="8">
        <f>K34/M34</f>
        <v>1</v>
      </c>
      <c r="S34" s="8">
        <f>SUM(S26:X26)</f>
        <v>0.16666666666666666</v>
      </c>
      <c r="U34" s="8">
        <f>W19</f>
        <v>0.16666666666666666</v>
      </c>
      <c r="W34" s="8">
        <f>S34/U34</f>
        <v>1</v>
      </c>
      <c r="AA34" s="8" t="e">
        <f>SUM(AA26:AF26)</f>
        <v>#NUM!</v>
      </c>
      <c r="AC34" s="8" t="e">
        <f>AE19</f>
        <v>#NUM!</v>
      </c>
      <c r="AE34" s="8" t="e">
        <f>AA34/AC34</f>
        <v>#NUM!</v>
      </c>
    </row>
    <row r="35" spans="3:31" hidden="1" x14ac:dyDescent="0.2">
      <c r="C35" s="8">
        <f t="shared" ref="C35:C39" si="46">SUM(C27:H27)</f>
        <v>0.16666666666666666</v>
      </c>
      <c r="E35" s="8">
        <f t="shared" ref="E35:E39" si="47">G20</f>
        <v>0.16666666666666666</v>
      </c>
      <c r="G35" s="8">
        <f t="shared" ref="G35:G39" si="48">C35/E35</f>
        <v>1</v>
      </c>
      <c r="K35" s="8">
        <f t="shared" ref="K35:K39" si="49">SUM(K27:P27)</f>
        <v>0.16666666666666666</v>
      </c>
      <c r="M35" s="8">
        <f t="shared" ref="M35:M39" si="50">O20</f>
        <v>0.16666666666666666</v>
      </c>
      <c r="O35" s="8">
        <f t="shared" ref="O35:O39" si="51">K35/M35</f>
        <v>1</v>
      </c>
      <c r="S35" s="8">
        <f t="shared" ref="S35:S39" si="52">SUM(S27:X27)</f>
        <v>0.16666666666666666</v>
      </c>
      <c r="U35" s="8">
        <f t="shared" ref="U35:U39" si="53">W20</f>
        <v>0.16666666666666666</v>
      </c>
      <c r="W35" s="8">
        <f t="shared" ref="W35:W39" si="54">S35/U35</f>
        <v>1</v>
      </c>
      <c r="AA35" s="8" t="e">
        <f t="shared" ref="AA35:AA39" si="55">SUM(AA27:AF27)</f>
        <v>#NUM!</v>
      </c>
      <c r="AC35" s="8" t="e">
        <f t="shared" ref="AC35:AC39" si="56">AE20</f>
        <v>#NUM!</v>
      </c>
      <c r="AE35" s="8" t="e">
        <f t="shared" ref="AE35:AE39" si="57">AA35/AC35</f>
        <v>#NUM!</v>
      </c>
    </row>
    <row r="36" spans="3:31" hidden="1" x14ac:dyDescent="0.2">
      <c r="C36" s="8">
        <f t="shared" si="46"/>
        <v>0.16666666666666666</v>
      </c>
      <c r="E36" s="8">
        <f t="shared" si="47"/>
        <v>0.16666666666666666</v>
      </c>
      <c r="G36" s="8">
        <f t="shared" si="48"/>
        <v>1</v>
      </c>
      <c r="K36" s="8">
        <f t="shared" si="49"/>
        <v>0.16666666666666666</v>
      </c>
      <c r="M36" s="8">
        <f t="shared" si="50"/>
        <v>0.16666666666666666</v>
      </c>
      <c r="O36" s="8">
        <f t="shared" si="51"/>
        <v>1</v>
      </c>
      <c r="S36" s="8">
        <f t="shared" si="52"/>
        <v>0.16666666666666666</v>
      </c>
      <c r="U36" s="8">
        <f t="shared" si="53"/>
        <v>0.16666666666666666</v>
      </c>
      <c r="W36" s="8">
        <f t="shared" si="54"/>
        <v>1</v>
      </c>
      <c r="AA36" s="8" t="e">
        <f t="shared" si="55"/>
        <v>#NUM!</v>
      </c>
      <c r="AC36" s="8" t="e">
        <f t="shared" si="56"/>
        <v>#NUM!</v>
      </c>
      <c r="AE36" s="8" t="e">
        <f t="shared" si="57"/>
        <v>#NUM!</v>
      </c>
    </row>
    <row r="37" spans="3:31" hidden="1" x14ac:dyDescent="0.2">
      <c r="C37" s="8">
        <f t="shared" si="46"/>
        <v>0.16666666666666666</v>
      </c>
      <c r="E37" s="8">
        <f t="shared" si="47"/>
        <v>0.16666666666666666</v>
      </c>
      <c r="G37" s="8">
        <f t="shared" si="48"/>
        <v>1</v>
      </c>
      <c r="K37" s="8">
        <f t="shared" si="49"/>
        <v>0.16666666666666666</v>
      </c>
      <c r="M37" s="8">
        <f t="shared" si="50"/>
        <v>0.16666666666666666</v>
      </c>
      <c r="O37" s="8">
        <f t="shared" si="51"/>
        <v>1</v>
      </c>
      <c r="S37" s="8">
        <f t="shared" si="52"/>
        <v>0.16666666666666666</v>
      </c>
      <c r="U37" s="8">
        <f t="shared" si="53"/>
        <v>0.16666666666666666</v>
      </c>
      <c r="W37" s="8">
        <f t="shared" si="54"/>
        <v>1</v>
      </c>
      <c r="AA37" s="8" t="e">
        <f t="shared" si="55"/>
        <v>#NUM!</v>
      </c>
      <c r="AC37" s="8" t="e">
        <f t="shared" si="56"/>
        <v>#NUM!</v>
      </c>
      <c r="AE37" s="8" t="e">
        <f t="shared" si="57"/>
        <v>#NUM!</v>
      </c>
    </row>
    <row r="38" spans="3:31" hidden="1" x14ac:dyDescent="0.2">
      <c r="C38" s="8">
        <f t="shared" si="46"/>
        <v>0.16666666666666666</v>
      </c>
      <c r="E38" s="8">
        <f t="shared" si="47"/>
        <v>0.16666666666666666</v>
      </c>
      <c r="G38" s="8">
        <f t="shared" si="48"/>
        <v>1</v>
      </c>
      <c r="K38" s="8">
        <f t="shared" si="49"/>
        <v>0.16666666666666666</v>
      </c>
      <c r="M38" s="8">
        <f t="shared" si="50"/>
        <v>0.16666666666666666</v>
      </c>
      <c r="O38" s="8">
        <f t="shared" si="51"/>
        <v>1</v>
      </c>
      <c r="S38" s="8">
        <f t="shared" si="52"/>
        <v>0.16666666666666666</v>
      </c>
      <c r="U38" s="8">
        <f t="shared" si="53"/>
        <v>0.16666666666666666</v>
      </c>
      <c r="W38" s="8">
        <f t="shared" si="54"/>
        <v>1</v>
      </c>
      <c r="AA38" s="8" t="e">
        <f t="shared" si="55"/>
        <v>#NUM!</v>
      </c>
      <c r="AC38" s="8" t="e">
        <f t="shared" si="56"/>
        <v>#NUM!</v>
      </c>
      <c r="AE38" s="8" t="e">
        <f t="shared" si="57"/>
        <v>#NUM!</v>
      </c>
    </row>
    <row r="39" spans="3:31" hidden="1" x14ac:dyDescent="0.2">
      <c r="C39" s="8">
        <f t="shared" si="46"/>
        <v>0.16666666666666666</v>
      </c>
      <c r="E39" s="8">
        <f t="shared" si="47"/>
        <v>0.16666666666666666</v>
      </c>
      <c r="G39" s="8">
        <f t="shared" si="48"/>
        <v>1</v>
      </c>
      <c r="K39" s="8">
        <f t="shared" si="49"/>
        <v>0.16666666666666666</v>
      </c>
      <c r="M39" s="8">
        <f t="shared" si="50"/>
        <v>0.16666666666666666</v>
      </c>
      <c r="O39" s="8">
        <f t="shared" si="51"/>
        <v>1</v>
      </c>
      <c r="S39" s="8">
        <f t="shared" si="52"/>
        <v>0.16666666666666666</v>
      </c>
      <c r="U39" s="8">
        <f t="shared" si="53"/>
        <v>0.16666666666666666</v>
      </c>
      <c r="W39" s="8">
        <f t="shared" si="54"/>
        <v>1</v>
      </c>
      <c r="AA39" s="8" t="e">
        <f t="shared" si="55"/>
        <v>#NUM!</v>
      </c>
      <c r="AC39" s="8" t="e">
        <f t="shared" si="56"/>
        <v>#NUM!</v>
      </c>
      <c r="AE39" s="8" t="e">
        <f t="shared" si="57"/>
        <v>#NUM!</v>
      </c>
    </row>
    <row r="40" spans="3:31" hidden="1" x14ac:dyDescent="0.2">
      <c r="F40" s="8"/>
      <c r="G40" s="8"/>
      <c r="N40" s="8"/>
      <c r="O40" s="8"/>
      <c r="V40" s="8"/>
      <c r="W40" s="8"/>
      <c r="AD40" s="8"/>
      <c r="AE40" s="8"/>
    </row>
    <row r="41" spans="3:31" x14ac:dyDescent="0.2">
      <c r="F41" s="8" t="s">
        <v>20</v>
      </c>
      <c r="G41" s="8">
        <f>AVERAGE(G34:G39)</f>
        <v>1</v>
      </c>
      <c r="N41" s="8" t="s">
        <v>20</v>
      </c>
      <c r="O41" s="8">
        <f>AVERAGE(O34:O39)</f>
        <v>1</v>
      </c>
      <c r="V41" s="8" t="s">
        <v>20</v>
      </c>
      <c r="W41" s="8">
        <f>AVERAGE(W34:W39)</f>
        <v>1</v>
      </c>
      <c r="AD41" s="8" t="s">
        <v>20</v>
      </c>
      <c r="AE41" s="8" t="e">
        <f>AVERAGE(AE34:AE39)</f>
        <v>#NUM!</v>
      </c>
    </row>
    <row r="42" spans="3:31" x14ac:dyDescent="0.2">
      <c r="F42" s="8" t="s">
        <v>21</v>
      </c>
      <c r="G42" s="8">
        <f>(G41-6)/5</f>
        <v>-1</v>
      </c>
      <c r="N42" s="8" t="s">
        <v>21</v>
      </c>
      <c r="O42" s="8">
        <f>(O41-6)/5</f>
        <v>-1</v>
      </c>
      <c r="V42" s="8" t="s">
        <v>21</v>
      </c>
      <c r="W42" s="8">
        <f>(W41-6)/5</f>
        <v>-1</v>
      </c>
      <c r="AD42" s="8" t="s">
        <v>21</v>
      </c>
      <c r="AE42" s="8" t="e">
        <f>(AE41-6)/5</f>
        <v>#NUM!</v>
      </c>
    </row>
    <row r="43" spans="3:31" x14ac:dyDescent="0.2">
      <c r="F43" s="8" t="s">
        <v>22</v>
      </c>
      <c r="G43" s="8">
        <f>G42/1.24</f>
        <v>-0.80645161290322587</v>
      </c>
      <c r="N43" s="8" t="s">
        <v>22</v>
      </c>
      <c r="O43" s="8">
        <f>O42/1.24</f>
        <v>-0.80645161290322587</v>
      </c>
      <c r="V43" s="8" t="s">
        <v>22</v>
      </c>
      <c r="W43" s="8">
        <f>W42/1.24</f>
        <v>-0.80645161290322587</v>
      </c>
      <c r="AD43" s="8" t="s">
        <v>22</v>
      </c>
      <c r="AE43" s="8" t="e">
        <f>AE42/1.24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PROCESI_Prioriteti</vt:lpstr>
      <vt:lpstr>PROCESI_AO</vt:lpstr>
      <vt:lpstr>PROCESIUsporedbaKriteriji</vt:lpstr>
      <vt:lpstr>PraćenjeIKontorlaProcesa</vt:lpstr>
      <vt:lpstr>AdministrativnoOpterećenje</vt:lpstr>
      <vt:lpstr>KoordinacijaIzmeđuOdjela</vt:lpstr>
      <vt:lpstr>KomunikacijaIPristupPodacima</vt:lpstr>
      <vt:lpstr>TransparentnostPostupaka</vt:lpstr>
      <vt:lpstr>BrojPotrebnihLjudiPROCESI</vt:lpstr>
      <vt:lpstr>OpsegRučnihOperacija</vt:lpstr>
      <vt:lpstr>RazinaAutoRutinskihKoraka</vt:lpstr>
      <vt:lpstr>TrajanjeProcesa</vt:lpstr>
      <vt:lpstr>OperativnePogreške</vt:lpstr>
      <vt:lpstr>TočnostPrikupljenihInfo</vt:lpstr>
      <vt:lpstr>UštedaUOdnosuNaPrije</vt:lpstr>
      <vt:lpstr>TrošakProvedbeProcesa</vt:lpstr>
      <vt:lpstr>PKFinancijskaUčinkovitost</vt:lpstr>
      <vt:lpstr>PKKvalitetaTočnost</vt:lpstr>
      <vt:lpstr>PKUbrzanjeProcesa</vt:lpstr>
      <vt:lpstr>PKLjudskiResursi</vt:lpstr>
      <vt:lpstr>PKPoboljšanjeIskustva</vt:lpstr>
      <vt:lpstr>PKUtjecajNaOrgUčinkovitost</vt:lpstr>
      <vt:lpstr>USLUGEUsporedbaKriteriji</vt:lpstr>
      <vt:lpstr>DostupnostUsluge</vt:lpstr>
      <vt:lpstr>UčinkovitostRješavanjaProblema</vt:lpstr>
      <vt:lpstr>IntegracijaSPostojećimSustavima</vt:lpstr>
      <vt:lpstr>KonkurentskaPrednost</vt:lpstr>
      <vt:lpstr>PrepoznatljivostIInovativnost</vt:lpstr>
      <vt:lpstr>ZahtjevnostImplementacije</vt:lpstr>
      <vt:lpstr>AutoObavljanjeRutinskihKoraka</vt:lpstr>
      <vt:lpstr>PKFinancijske_Isplativosti</vt:lpstr>
      <vt:lpstr>PKReputacijeIInovativnosti</vt:lpstr>
      <vt:lpstr>PKZadovoljstvaKupca</vt:lpstr>
      <vt:lpstr>PKUbrzanjaProcesa</vt:lpstr>
      <vt:lpstr>PKLjudskihresursa</vt:lpstr>
      <vt:lpstr>PKTehIzvedivostiIOdrživosti</vt:lpstr>
      <vt:lpstr>TrošakImplementacije</vt:lpstr>
      <vt:lpstr>TrošakOdržavanja</vt:lpstr>
      <vt:lpstr>AutomatskaPodrška</vt:lpstr>
      <vt:lpstr>BrojPotrebnihLjudiUSLUGE</vt:lpstr>
      <vt:lpstr>VrijemePotrebnoZaPružanjeUsluge</vt:lpstr>
      <vt:lpstr>USLUGE_Prioriteti_AO</vt:lpstr>
      <vt:lpstr>PovratInvesticije(ROI)</vt:lpstr>
      <vt:lpstr>2x2</vt:lpstr>
      <vt:lpstr>3x3</vt:lpstr>
      <vt:lpstr>4x4</vt:lpstr>
      <vt:lpstr>5x5</vt:lpstr>
      <vt:lpstr>6x6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Kadoić</dc:creator>
  <cp:lastModifiedBy>Lana Savić</cp:lastModifiedBy>
  <dcterms:created xsi:type="dcterms:W3CDTF">2015-06-05T18:19:34Z</dcterms:created>
  <dcterms:modified xsi:type="dcterms:W3CDTF">2026-01-24T21:02:45Z</dcterms:modified>
</cp:coreProperties>
</file>